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comments/comment1.xml" ContentType="application/vnd.openxmlformats-officedocument.spreadsheetml.comments+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externalLinks/externalLink1.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xWindow="0" yWindow="0" windowWidth="28800" windowHeight="11880" tabRatio="816" firstSheet="4" activeTab="6" autoFilterDateGrouping="1"/>
  </bookViews>
  <sheets>
    <sheet name="VersionControl" sheetId="1" state="veryHidden" r:id="rId1"/>
    <sheet name="Block Template" sheetId="2" state="veryHidden" r:id="rId2"/>
    <sheet name="Inputs" sheetId="3" state="veryHidden" r:id="rId3"/>
    <sheet name="Outputs" sheetId="4" state="veryHidden" r:id="rId4"/>
    <sheet name="封面" sheetId="5" state="visible" r:id="rId5"/>
    <sheet name="产品适用表 " sheetId="6" state="visible" r:id="rId6"/>
    <sheet name="PFMEA-合并" sheetId="7" state="visible" r:id="rId7"/>
    <sheet name="PFMEA -英文" sheetId="8" state="visible" r:id="rId8"/>
    <sheet name="版本履历" sheetId="9" state="visible" r:id="rId9"/>
    <sheet name="Definition of Change Point's" sheetId="10" state="hidden" r:id="rId10"/>
    <sheet name="Judgment Words" sheetId="11" state="hidden" r:id="rId11"/>
    <sheet name="temp1" sheetId="12" state="veryHidden" r:id="rId12"/>
    <sheet name="temp2" sheetId="13" state="veryHidden" r:id="rId13"/>
  </sheets>
  <externalReferences>
    <externalReference r:id="rId14"/>
  </externalReferences>
  <definedNames>
    <definedName name="a">#REF!</definedName>
    <definedName name="a_design">#REF!</definedName>
    <definedName name="a_design_date">#REF!</definedName>
    <definedName name="a_design_resp">#REF!</definedName>
    <definedName name="a_man">#REF!</definedName>
    <definedName name="a_man_date">#REF!</definedName>
    <definedName name="a_man_resp">#REF!</definedName>
    <definedName name="a_val">#REF!</definedName>
    <definedName name="a_val_date">#REF!</definedName>
    <definedName name="a_val_resp">#REF!</definedName>
    <definedName name="aaaaa">#REF!</definedName>
    <definedName name="actions_col">#REF!</definedName>
    <definedName name="author_col">VersionControl!$C$1</definedName>
    <definedName name="AUTO_MACRO">#REF!</definedName>
    <definedName name="block_descript">'Block Template'!$C$1</definedName>
    <definedName name="block_faceid">'Block Template'!$D$1</definedName>
    <definedName name="block_item">'Block Template'!$B$1</definedName>
    <definedName name="cause_col">#REF!</definedName>
    <definedName name="changcolco">#REF!</definedName>
    <definedName name="change_col">#REF!</definedName>
    <definedName name="cir">#REF!</definedName>
    <definedName name="circle">#REF!</definedName>
    <definedName name="class_col">#REF!</definedName>
    <definedName name="compDate">#REF!</definedName>
    <definedName name="count_col">Inputs!$A$4</definedName>
    <definedName name="d">#REF!</definedName>
    <definedName name="date">#REF!</definedName>
    <definedName name="date_col">VersionControl!$A$1</definedName>
    <definedName name="date1">#REF!</definedName>
    <definedName name="DE_row">#REF!</definedName>
    <definedName name="def_r2">#REF!</definedName>
    <definedName name="def_row">#REF!</definedName>
    <definedName name="descript">#REF!</definedName>
    <definedName name="descript_col">VersionControl!$D$1</definedName>
    <definedName name="designcontrolD_col">#REF!</definedName>
    <definedName name="designcontrolP_col">#REF!</definedName>
    <definedName name="det_col">#REF!</definedName>
    <definedName name="det_def_col">#REF!</definedName>
    <definedName name="det_rating_col">#REF!</definedName>
    <definedName name="DFMEA_DRBFM">#REF!</definedName>
    <definedName name="diamond">#REF!</definedName>
    <definedName name="drbfm_engine">#REF!</definedName>
    <definedName name="DRBFM_row">#REF!</definedName>
    <definedName name="drbfm_trans">#REF!</definedName>
    <definedName name="drbfmNo">#REF!</definedName>
    <definedName name="effect_col">#REF!</definedName>
    <definedName name="effect_def_col">#REF!</definedName>
    <definedName name="effect_rating_col">#REF!</definedName>
    <definedName name="end_col">#REF!</definedName>
    <definedName name="eval_col">#REF!</definedName>
    <definedName name="first_col">Inputs!$A$4</definedName>
    <definedName name="first_row">'Block Template'!$A$2</definedName>
    <definedName name="fmode_col">#REF!</definedName>
    <definedName name="function_col">#REF!</definedName>
    <definedName name="grpComponent">#REF!</definedName>
    <definedName name="inputs_descript_col">Inputs!$C$4</definedName>
    <definedName name="inputs_item_col">Inputs!$B$4</definedName>
    <definedName name="inputs_last_col">Inputs!$D$4</definedName>
    <definedName name="inputs_provider_col">Inputs!$D$4</definedName>
    <definedName name="item_col">Inputs!$B$4</definedName>
    <definedName name="kdate">#REF!</definedName>
    <definedName name="key">#REF!</definedName>
    <definedName name="keyFunction">#REF!</definedName>
    <definedName name="keyInterface">#REF!</definedName>
    <definedName name="last_col">Inputs!$C$4</definedName>
    <definedName name="last_row">'Block Template'!$A$36</definedName>
    <definedName name="line_col">#REF!</definedName>
    <definedName name="matrix">#REF!</definedName>
    <definedName name="matrix_clr">#REF!</definedName>
    <definedName name="my">#REF!</definedName>
    <definedName name="ndet_col">#REF!</definedName>
    <definedName name="new_det_col">#REF!</definedName>
    <definedName name="new_occ_col">#REF!</definedName>
    <definedName name="new_rpn_col">#REF!</definedName>
    <definedName name="new_sev_col">#REF!</definedName>
    <definedName name="nocc_col">#REF!</definedName>
    <definedName name="nrpn_col">#REF!</definedName>
    <definedName name="nsev_col">#REF!</definedName>
    <definedName name="o_functionCol">Outputs!$D$2</definedName>
    <definedName name="occ_col">#REF!</definedName>
    <definedName name="occ_def_col">#REF!</definedName>
    <definedName name="occ_rating_col">#REF!</definedName>
    <definedName name="origdate">#REF!</definedName>
    <definedName name="out_col">Outputs!$D$4</definedName>
    <definedName name="outputs_descript_col">Outputs!$D$4</definedName>
    <definedName name="outputs_item_col">Outputs!$B$4</definedName>
    <definedName name="outputs_last_col">Outputs!$D$4</definedName>
    <definedName name="outputs_provider_col">Outputs!$C$4</definedName>
    <definedName name="part">#REF!</definedName>
    <definedName name="pentagon">#REF!</definedName>
    <definedName name="prefix">Outputs!$E$4</definedName>
    <definedName name="preparer">#REF!</definedName>
    <definedName name="proc">#REF!</definedName>
    <definedName name="program">#REF!</definedName>
    <definedName name="r_color">#REF!</definedName>
    <definedName name="resp">#REF!</definedName>
    <definedName name="resp_col">#REF!</definedName>
    <definedName name="resp2">#REF!</definedName>
    <definedName name="revdate">#REF!</definedName>
    <definedName name="review_start">#REF!</definedName>
    <definedName name="rpn_col">#REF!</definedName>
    <definedName name="s">#REF!</definedName>
    <definedName name="sev_col">#REF!</definedName>
    <definedName name="sort_order">#REF!</definedName>
    <definedName name="square">#REF!</definedName>
    <definedName name="start">'Judgment Words'!$A$6</definedName>
    <definedName name="start_col">#REF!</definedName>
    <definedName name="start_row">#REF!</definedName>
    <definedName name="status_col">#REF!</definedName>
    <definedName name="stopsign">#REF!</definedName>
    <definedName name="suggest">'Judgment Words'!$B$6</definedName>
    <definedName name="t_color">#REF!</definedName>
    <definedName name="target_col">#REF!</definedName>
    <definedName name="team_row">#REF!</definedName>
    <definedName name="test_start">#REF!</definedName>
    <definedName name="triangle">#REF!</definedName>
    <definedName name="valid_admins">VersionControl!$H$1</definedName>
    <definedName name="version_col">VersionControl!$B$1</definedName>
    <definedName name="vpps">#REF!</definedName>
    <definedName name="end_col" localSheetId="0">#REF!</definedName>
    <definedName name="program" localSheetId="0">#REF!</definedName>
    <definedName name="_xlnm.Print_Area" localSheetId="2">'Inputs'!$A$1:$D$50</definedName>
    <definedName name="count_col" localSheetId="3">Outputs!$A$4</definedName>
    <definedName name="first_col" localSheetId="3">Outputs!$A$4</definedName>
    <definedName name="item_col" localSheetId="3">Outputs!$B$4</definedName>
    <definedName name="last_col" localSheetId="3">Outputs!$D$4</definedName>
    <definedName name="_xlnm.Print_Area" localSheetId="4">'封面'!$A$1:$M$20</definedName>
    <definedName name="OLE_LINK232" localSheetId="5">'产品适用表 '!#REF!</definedName>
    <definedName name="a" localSheetId="7">#REF!</definedName>
    <definedName name="a_design" localSheetId="7">#REF!</definedName>
    <definedName name="a_design_date" localSheetId="7">#REF!</definedName>
    <definedName name="a_design_resp" localSheetId="7">#REF!</definedName>
    <definedName name="a_man" localSheetId="7">#REF!</definedName>
    <definedName name="a_man_date" localSheetId="7">#REF!</definedName>
    <definedName name="a_man_resp" localSheetId="7">#REF!</definedName>
    <definedName name="a_val" localSheetId="7">#REF!</definedName>
    <definedName name="a_val_date" localSheetId="7">#REF!</definedName>
    <definedName name="a_val_resp" localSheetId="7">#REF!</definedName>
    <definedName name="aaaaa" localSheetId="7">#REF!</definedName>
    <definedName name="actions_col" localSheetId="7">#REF!</definedName>
    <definedName name="AUTO_MACRO" localSheetId="7">#REF!</definedName>
    <definedName name="cause_col" localSheetId="7">#REF!</definedName>
    <definedName name="changcolco" localSheetId="7">#REF!</definedName>
    <definedName name="change_col" localSheetId="7">#REF!</definedName>
    <definedName name="cir" localSheetId="7">#REF!</definedName>
    <definedName name="circle" localSheetId="7">#REF!</definedName>
    <definedName name="class_col" localSheetId="7">#REF!</definedName>
    <definedName name="compDate" localSheetId="7">#REF!</definedName>
    <definedName name="d" localSheetId="7">#REF!</definedName>
    <definedName name="date" localSheetId="7">#REF!</definedName>
    <definedName name="date1" localSheetId="7">#REF!</definedName>
    <definedName name="DE_row" localSheetId="7">#REF!</definedName>
    <definedName name="def_r2" localSheetId="7">#REF!</definedName>
    <definedName name="def_row" localSheetId="7">#REF!</definedName>
    <definedName name="descript" localSheetId="7">#REF!</definedName>
    <definedName name="designcontrolD_col" localSheetId="7">#REF!</definedName>
    <definedName name="designcontrolP_col" localSheetId="7">#REF!</definedName>
    <definedName name="det_col" localSheetId="7">#REF!</definedName>
    <definedName name="det_def_col" localSheetId="7">#REF!</definedName>
    <definedName name="det_rating_col" localSheetId="7">#REF!</definedName>
    <definedName name="DFMEA_DRBFM" localSheetId="7">#REF!</definedName>
    <definedName name="diamond" localSheetId="7">#REF!</definedName>
    <definedName name="drbfm_engine" localSheetId="7">#REF!</definedName>
    <definedName name="DRBFM_row" localSheetId="7">#REF!</definedName>
    <definedName name="drbfm_trans" localSheetId="7">#REF!</definedName>
    <definedName name="drbfmNo" localSheetId="7">#REF!</definedName>
    <definedName name="effect_col" localSheetId="7">#REF!</definedName>
    <definedName name="effect_def_col" localSheetId="7">#REF!</definedName>
    <definedName name="effect_rating_col" localSheetId="7">#REF!</definedName>
    <definedName name="end_col" localSheetId="7">#REF!</definedName>
    <definedName name="eval_col" localSheetId="7">#REF!</definedName>
    <definedName name="fmode_col" localSheetId="7">#REF!</definedName>
    <definedName name="function_col" localSheetId="7">#REF!</definedName>
    <definedName name="grpComponent" localSheetId="7">#REF!</definedName>
    <definedName name="kdate" localSheetId="7">#REF!</definedName>
    <definedName name="key" localSheetId="7">#REF!</definedName>
    <definedName name="keyFunction" localSheetId="7">#REF!</definedName>
    <definedName name="keyInterface" localSheetId="7">#REF!</definedName>
    <definedName name="line_col" localSheetId="7">#REF!</definedName>
    <definedName name="matrix" localSheetId="7">#REF!</definedName>
    <definedName name="matrix_clr" localSheetId="7">#REF!</definedName>
    <definedName name="my" localSheetId="7">#REF!</definedName>
    <definedName name="ndet_col" localSheetId="7">#REF!</definedName>
    <definedName name="new_det_col" localSheetId="7">#REF!</definedName>
    <definedName name="new_occ_col" localSheetId="7">#REF!</definedName>
    <definedName name="new_rpn_col" localSheetId="7">#REF!</definedName>
    <definedName name="new_sev_col" localSheetId="7">#REF!</definedName>
    <definedName name="nocc_col" localSheetId="7">#REF!</definedName>
    <definedName name="nrpn_col" localSheetId="7">#REF!</definedName>
    <definedName name="nsev_col" localSheetId="7">#REF!</definedName>
    <definedName name="occ_col" localSheetId="7">#REF!</definedName>
    <definedName name="occ_def_col" localSheetId="7">#REF!</definedName>
    <definedName name="occ_rating_col" localSheetId="7">#REF!</definedName>
    <definedName name="origdate" localSheetId="7">#REF!</definedName>
    <definedName name="part" localSheetId="7">#REF!</definedName>
    <definedName name="pentagon" localSheetId="7">#REF!</definedName>
    <definedName name="preparer" localSheetId="7">#REF!</definedName>
    <definedName name="proc" localSheetId="7">#REF!</definedName>
    <definedName name="program" localSheetId="7">#REF!</definedName>
    <definedName name="r_color" localSheetId="7">#REF!</definedName>
    <definedName name="resp" localSheetId="7">#REF!</definedName>
    <definedName name="resp_col" localSheetId="7">#REF!</definedName>
    <definedName name="resp2" localSheetId="7">#REF!</definedName>
    <definedName name="revdate" localSheetId="7">#REF!</definedName>
    <definedName name="review_start" localSheetId="7">#REF!</definedName>
    <definedName name="rpn_col" localSheetId="7">#REF!</definedName>
    <definedName name="s" localSheetId="7">#REF!</definedName>
    <definedName name="sev_col" localSheetId="7">#REF!</definedName>
    <definedName name="sort_order" localSheetId="7">#REF!</definedName>
    <definedName name="square" localSheetId="7">#REF!</definedName>
    <definedName name="start_col" localSheetId="7">#REF!</definedName>
    <definedName name="start_row" localSheetId="7">#REF!</definedName>
    <definedName name="status_col" localSheetId="7">#REF!</definedName>
    <definedName name="stopsign" localSheetId="7">#REF!</definedName>
    <definedName name="t_color" localSheetId="7">#REF!</definedName>
    <definedName name="target_col" localSheetId="7">#REF!</definedName>
    <definedName name="team_row" localSheetId="7">#REF!</definedName>
    <definedName name="test_start" localSheetId="7">#REF!</definedName>
    <definedName name="triangle" localSheetId="7">#REF!</definedName>
    <definedName name="vpps" localSheetId="7">#REF!</definedName>
    <definedName name="_xlnm.Print_Area" localSheetId="7">'PFMEA -英文'!$A$1:$S$76</definedName>
    <definedName name="a_design" localSheetId="8">#REF!</definedName>
    <definedName name="a_design_date" localSheetId="8">#REF!</definedName>
    <definedName name="a_design_resp" localSheetId="8">#REF!</definedName>
    <definedName name="a_man" localSheetId="8">#REF!</definedName>
    <definedName name="a_man_date" localSheetId="8">#REF!</definedName>
    <definedName name="a_man_resp" localSheetId="8">#REF!</definedName>
    <definedName name="a_val" localSheetId="8">#REF!</definedName>
    <definedName name="a_val_date" localSheetId="8">#REF!</definedName>
    <definedName name="a_val_resp" localSheetId="8">#REF!</definedName>
    <definedName name="actions_col" localSheetId="8">#REF!</definedName>
    <definedName name="AUTO_MACRO" localSheetId="8">#REF!</definedName>
    <definedName name="cause_col" localSheetId="8">#REF!</definedName>
    <definedName name="change_col" localSheetId="8">#REF!</definedName>
    <definedName name="cir" localSheetId="8">#REF!</definedName>
    <definedName name="circle" localSheetId="8">#REF!</definedName>
    <definedName name="class_col" localSheetId="8">#REF!</definedName>
    <definedName name="compDate" localSheetId="8">#REF!</definedName>
    <definedName name="d" localSheetId="8">#REF!</definedName>
    <definedName name="date" localSheetId="8">#REF!</definedName>
    <definedName name="date1" localSheetId="8">#REF!</definedName>
    <definedName name="DE_row" localSheetId="8">#REF!</definedName>
    <definedName name="def_r2" localSheetId="8">#REF!</definedName>
    <definedName name="def_row" localSheetId="8">#REF!</definedName>
    <definedName name="descript" localSheetId="8">#REF!</definedName>
    <definedName name="designcontrolD_col" localSheetId="8">#REF!</definedName>
    <definedName name="designcontrolP_col" localSheetId="8">#REF!</definedName>
    <definedName name="det_col" localSheetId="8">#REF!</definedName>
    <definedName name="det_def_col" localSheetId="8">#REF!</definedName>
    <definedName name="det_rating_col" localSheetId="8">#REF!</definedName>
    <definedName name="DFMEA_DRBFM" localSheetId="8">#REF!</definedName>
    <definedName name="diamond" localSheetId="8">#REF!</definedName>
    <definedName name="drbfm_engine" localSheetId="8">#REF!</definedName>
    <definedName name="DRBFM_row" localSheetId="8">#REF!</definedName>
    <definedName name="drbfm_trans" localSheetId="8">#REF!</definedName>
    <definedName name="drbfmNo" localSheetId="8">#REF!</definedName>
    <definedName name="effect_col" localSheetId="8">#REF!</definedName>
    <definedName name="effect_def_col" localSheetId="8">#REF!</definedName>
    <definedName name="effect_rating_col" localSheetId="8">#REF!</definedName>
    <definedName name="end_col" localSheetId="8">#REF!</definedName>
    <definedName name="eval_col" localSheetId="8">#REF!</definedName>
    <definedName name="fmode_col" localSheetId="8">#REF!</definedName>
    <definedName name="function_col" localSheetId="8">#REF!</definedName>
    <definedName name="grpComponent" localSheetId="8">#REF!</definedName>
    <definedName name="kdate" localSheetId="8">#REF!</definedName>
    <definedName name="key" localSheetId="8">#REF!</definedName>
    <definedName name="keyFunction" localSheetId="8">#REF!</definedName>
    <definedName name="keyInterface" localSheetId="8">#REF!</definedName>
    <definedName name="line_col" localSheetId="8">#REF!</definedName>
    <definedName name="matrix" localSheetId="8">#REF!</definedName>
    <definedName name="matrix_clr" localSheetId="8">#REF!</definedName>
    <definedName name="my" localSheetId="8">#REF!</definedName>
    <definedName name="ndet_col" localSheetId="8">#REF!</definedName>
    <definedName name="new_det_col" localSheetId="8">#REF!</definedName>
    <definedName name="new_occ_col" localSheetId="8">#REF!</definedName>
    <definedName name="new_rpn_col" localSheetId="8">#REF!</definedName>
    <definedName name="new_sev_col" localSheetId="8">#REF!</definedName>
    <definedName name="nocc_col" localSheetId="8">#REF!</definedName>
    <definedName name="nrpn_col" localSheetId="8">#REF!</definedName>
    <definedName name="nsev_col" localSheetId="8">#REF!</definedName>
    <definedName name="occ_col" localSheetId="8">#REF!</definedName>
    <definedName name="occ_def_col" localSheetId="8">#REF!</definedName>
    <definedName name="occ_rating_col" localSheetId="8">#REF!</definedName>
    <definedName name="origdate" localSheetId="8">#REF!</definedName>
    <definedName name="part" localSheetId="8">#REF!</definedName>
    <definedName name="pentagon" localSheetId="8">#REF!</definedName>
    <definedName name="preparer" localSheetId="8">#REF!</definedName>
    <definedName name="proc" localSheetId="8">#REF!</definedName>
    <definedName name="program" localSheetId="8">#REF!</definedName>
    <definedName name="r_color" localSheetId="8">#REF!</definedName>
    <definedName name="resp" localSheetId="8">#REF!</definedName>
    <definedName name="resp_col" localSheetId="8">#REF!</definedName>
    <definedName name="resp2" localSheetId="8">#REF!</definedName>
    <definedName name="revdate" localSheetId="8">#REF!</definedName>
    <definedName name="review_start" localSheetId="8">#REF!</definedName>
    <definedName name="rpn_col" localSheetId="8">#REF!</definedName>
    <definedName name="s" localSheetId="8">#REF!</definedName>
    <definedName name="sev_col" localSheetId="8">#REF!</definedName>
    <definedName name="sort_order" localSheetId="8">#REF!</definedName>
    <definedName name="square" localSheetId="8">#REF!</definedName>
    <definedName name="start_col" localSheetId="8">#REF!</definedName>
    <definedName name="start_row" localSheetId="8">#REF!</definedName>
    <definedName name="status_col" localSheetId="8">#REF!</definedName>
    <definedName name="stopsign" localSheetId="8">#REF!</definedName>
    <definedName name="t_color" localSheetId="8">#REF!</definedName>
    <definedName name="target_col" localSheetId="8">#REF!</definedName>
    <definedName name="team_row" localSheetId="8">#REF!</definedName>
    <definedName name="test_start" localSheetId="8">#REF!</definedName>
    <definedName name="triangle" localSheetId="8">#REF!</definedName>
    <definedName name="vpps" localSheetId="8">#REF!</definedName>
    <definedName name="_xlnm.Print_Area" localSheetId="8">'版本履历'!$A$1:$M$14</definedName>
    <definedName name="descript" localSheetId="9">'[1]DFMEA-DRBFM'!$H$1</definedName>
    <definedName name="drbfmNo" localSheetId="9">'[1]DFMEA-DRBFM'!$T$1</definedName>
    <definedName name="my" localSheetId="9">'[1]DFMEA-DRBFM'!$H$2</definedName>
    <definedName name="program" localSheetId="9">'[1]DFMEA-DRBFM'!$H$3</definedName>
  </definedNames>
  <calcPr calcId="191029" fullCalcOnLoad="1"/>
</workbook>
</file>

<file path=xl/styles.xml><?xml version="1.0" encoding="utf-8"?>
<styleSheet xmlns="http://schemas.openxmlformats.org/spreadsheetml/2006/main">
  <numFmts count="5">
    <numFmt numFmtId="164" formatCode="00"/>
    <numFmt numFmtId="165" formatCode="@\ \ "/>
    <numFmt numFmtId="166" formatCode="\ @"/>
    <numFmt numFmtId="167" formatCode="0.000"/>
    <numFmt numFmtId="168" formatCode="[$-409]d\-mmm\-yy;@"/>
  </numFmts>
  <fonts count="107">
    <font>
      <name val="Arial"/>
      <family val="2"/>
      <sz val="10"/>
    </font>
    <font>
      <name val="Arial"/>
      <family val="2"/>
      <sz val="10"/>
    </font>
    <font>
      <name val="Arial"/>
      <family val="2"/>
      <sz val="11"/>
    </font>
    <font>
      <name val="Arial"/>
      <family val="2"/>
      <b val="1"/>
      <sz val="12"/>
    </font>
    <font>
      <name val="Arial"/>
      <family val="2"/>
      <sz val="10"/>
    </font>
    <font>
      <name val="Arial"/>
      <family val="2"/>
      <sz val="8"/>
    </font>
    <font>
      <name val="Arial"/>
      <family val="2"/>
      <b val="1"/>
      <sz val="10"/>
    </font>
    <font>
      <name val="Tahoma"/>
      <family val="2"/>
      <b val="1"/>
      <color indexed="81"/>
      <sz val="8"/>
    </font>
    <font>
      <name val="Arial"/>
      <family val="2"/>
      <sz val="8"/>
    </font>
    <font>
      <name val="Arial"/>
      <family val="2"/>
      <sz val="9"/>
    </font>
    <font>
      <name val="Arial"/>
      <family val="2"/>
      <b val="1"/>
      <sz val="14"/>
    </font>
    <font>
      <name val="Helv"/>
      <family val="2"/>
      <sz val="8"/>
    </font>
    <font>
      <name val="Times New Roman"/>
      <family val="1"/>
      <sz val="24"/>
    </font>
    <font>
      <name val="Arial"/>
      <family val="2"/>
      <b val="1"/>
      <i val="1"/>
      <color indexed="8"/>
      <sz val="14"/>
    </font>
    <font>
      <name val="Arial"/>
      <family val="2"/>
      <sz val="11"/>
    </font>
    <font>
      <name val="Arial"/>
      <family val="2"/>
      <b val="1"/>
      <color indexed="8"/>
      <sz val="10"/>
    </font>
    <font>
      <name val="Arial"/>
      <family val="2"/>
      <b val="1"/>
      <color indexed="8"/>
      <sz val="12"/>
    </font>
    <font>
      <name val="Arial"/>
      <family val="2"/>
      <b val="1"/>
      <sz val="11"/>
    </font>
    <font>
      <name val="Arial"/>
      <family val="2"/>
      <color indexed="18"/>
      <sz val="8"/>
    </font>
    <font>
      <name val="Arial"/>
      <family val="2"/>
      <b val="1"/>
      <color indexed="18"/>
      <sz val="10"/>
    </font>
    <font>
      <name val="Arial"/>
      <family val="2"/>
      <color indexed="18"/>
      <sz val="11"/>
    </font>
    <font>
      <name val="Times New Roman"/>
      <family val="1"/>
      <sz val="10"/>
    </font>
    <font>
      <name val="Times New Roman"/>
      <family val="1"/>
      <b val="1"/>
      <sz val="14"/>
    </font>
    <font>
      <name val="Arial"/>
      <family val="2"/>
      <b val="1"/>
      <color indexed="8"/>
      <sz val="14"/>
    </font>
    <font>
      <name val="Arial"/>
      <family val="2"/>
      <b val="1"/>
      <color indexed="9"/>
      <sz val="16"/>
    </font>
    <font>
      <name val="Arial"/>
      <family val="2"/>
      <b val="1"/>
      <color indexed="9"/>
      <sz val="10"/>
    </font>
    <font>
      <name val="Tahoma"/>
      <family val="2"/>
      <color indexed="81"/>
      <sz val="8"/>
    </font>
    <font>
      <name val="Arial"/>
      <family val="2"/>
      <b val="1"/>
      <color indexed="10"/>
      <sz val="10"/>
    </font>
    <font>
      <name val="Arial"/>
      <family val="2"/>
      <color indexed="18"/>
      <sz val="9"/>
    </font>
    <font>
      <name val="宋体"/>
      <charset val="134"/>
      <family val="3"/>
      <sz val="9"/>
    </font>
    <font>
      <name val="宋体"/>
      <charset val="134"/>
      <family val="3"/>
      <sz val="10"/>
    </font>
    <font>
      <name val="Arial"/>
      <family val="2"/>
      <color indexed="8"/>
      <sz val="10"/>
    </font>
    <font>
      <name val="宋体"/>
      <charset val="134"/>
      <family val="3"/>
      <color indexed="8"/>
      <sz val="11"/>
    </font>
    <font>
      <name val="宋体"/>
      <charset val="134"/>
      <family val="3"/>
      <color indexed="9"/>
      <sz val="11"/>
    </font>
    <font>
      <name val="宋体"/>
      <charset val="134"/>
      <family val="3"/>
      <b val="1"/>
      <color indexed="56"/>
      <sz val="18"/>
    </font>
    <font>
      <name val="宋体"/>
      <charset val="134"/>
      <family val="3"/>
      <b val="1"/>
      <color indexed="56"/>
      <sz val="15"/>
    </font>
    <font>
      <name val="宋体"/>
      <charset val="134"/>
      <family val="3"/>
      <b val="1"/>
      <color indexed="56"/>
      <sz val="13"/>
    </font>
    <font>
      <name val="宋体"/>
      <charset val="134"/>
      <family val="3"/>
      <b val="1"/>
      <color indexed="56"/>
      <sz val="11"/>
    </font>
    <font>
      <name val="宋体"/>
      <charset val="134"/>
      <family val="3"/>
      <color indexed="20"/>
      <sz val="11"/>
    </font>
    <font>
      <name val="宋体"/>
      <charset val="134"/>
      <family val="3"/>
      <color indexed="17"/>
      <sz val="11"/>
    </font>
    <font>
      <name val="宋体"/>
      <charset val="134"/>
      <family val="3"/>
      <b val="1"/>
      <color indexed="8"/>
      <sz val="11"/>
    </font>
    <font>
      <name val="宋体"/>
      <charset val="134"/>
      <family val="3"/>
      <b val="1"/>
      <color indexed="52"/>
      <sz val="11"/>
    </font>
    <font>
      <name val="宋体"/>
      <charset val="134"/>
      <family val="3"/>
      <b val="1"/>
      <color indexed="9"/>
      <sz val="11"/>
    </font>
    <font>
      <name val="宋体"/>
      <charset val="134"/>
      <family val="3"/>
      <i val="1"/>
      <color indexed="23"/>
      <sz val="11"/>
    </font>
    <font>
      <name val="宋体"/>
      <charset val="134"/>
      <family val="3"/>
      <color indexed="10"/>
      <sz val="11"/>
    </font>
    <font>
      <name val="宋体"/>
      <charset val="134"/>
      <family val="3"/>
      <color indexed="52"/>
      <sz val="11"/>
    </font>
    <font>
      <name val="宋体"/>
      <charset val="134"/>
      <family val="3"/>
      <color indexed="60"/>
      <sz val="11"/>
    </font>
    <font>
      <name val="宋体"/>
      <charset val="134"/>
      <family val="3"/>
      <b val="1"/>
      <color indexed="63"/>
      <sz val="11"/>
    </font>
    <font>
      <name val="宋体"/>
      <charset val="134"/>
      <family val="3"/>
      <color indexed="62"/>
      <sz val="11"/>
    </font>
    <font>
      <name val="Tahoma"/>
      <family val="2"/>
      <color rgb="FF000000"/>
      <sz val="8"/>
    </font>
    <font>
      <name val="宋体"/>
      <charset val="134"/>
      <family val="3"/>
      <sz val="12"/>
    </font>
    <font>
      <name val="宋体"/>
      <charset val="134"/>
      <family val="3"/>
      <color theme="1"/>
      <sz val="11"/>
      <scheme val="minor"/>
    </font>
    <font>
      <name val="宋体"/>
      <charset val="134"/>
      <family val="3"/>
      <sz val="9"/>
      <scheme val="minor"/>
    </font>
    <font>
      <name val="宋体"/>
      <charset val="134"/>
      <family val="3"/>
      <sz val="8"/>
    </font>
    <font>
      <name val="长仿宋体"/>
      <charset val="134"/>
      <family val="3"/>
      <sz val="10"/>
    </font>
    <font>
      <name val="宋体"/>
      <charset val="134"/>
      <family val="3"/>
      <b val="1"/>
      <sz val="14"/>
      <scheme val="minor"/>
    </font>
    <font>
      <name val="新細明體"/>
      <charset val="136"/>
      <family val="1"/>
      <sz val="12"/>
    </font>
    <font>
      <name val="宋体"/>
      <charset val="134"/>
      <family val="3"/>
      <sz val="12"/>
      <u val="single"/>
    </font>
    <font>
      <name val="Times New Roman"/>
      <family val="1"/>
      <sz val="12"/>
      <u val="single"/>
    </font>
    <font>
      <name val="宋体"/>
      <charset val="134"/>
      <family val="3"/>
      <color indexed="8"/>
      <sz val="12"/>
    </font>
    <font>
      <name val="宋体"/>
      <charset val="134"/>
      <family val="3"/>
      <color indexed="8"/>
      <sz val="16"/>
    </font>
    <font>
      <name val="Times New Roman"/>
      <family val="1"/>
      <color theme="1"/>
      <sz val="10"/>
    </font>
    <font>
      <name val="宋体"/>
      <charset val="134"/>
      <family val="3"/>
      <color theme="1"/>
      <sz val="10"/>
    </font>
    <font>
      <name val="宋体"/>
      <charset val="134"/>
      <family val="3"/>
      <b val="1"/>
      <color theme="1"/>
      <sz val="18"/>
    </font>
    <font>
      <name val="Times New Roman"/>
      <family val="1"/>
      <color theme="1"/>
      <sz val="12"/>
    </font>
    <font>
      <name val="宋体"/>
      <charset val="134"/>
      <family val="3"/>
      <color theme="1"/>
      <sz val="12"/>
    </font>
    <font>
      <name val="宋体"/>
      <charset val="134"/>
      <family val="3"/>
      <sz val="11"/>
      <scheme val="minor"/>
    </font>
    <font>
      <name val="宋体"/>
      <charset val="134"/>
      <family val="3"/>
      <color indexed="8"/>
      <sz val="10"/>
    </font>
    <font>
      <name val="宋体"/>
      <charset val="134"/>
      <family val="3"/>
      <color rgb="FF000000"/>
      <sz val="10"/>
    </font>
    <font>
      <name val="宋体"/>
      <charset val="134"/>
      <family val="3"/>
      <color theme="1"/>
      <sz val="10"/>
      <scheme val="minor"/>
    </font>
    <font>
      <name val="宋体"/>
      <charset val="134"/>
      <family val="3"/>
      <sz val="8"/>
      <scheme val="major"/>
    </font>
    <font>
      <name val="宋体"/>
      <charset val="134"/>
      <family val="3"/>
      <sz val="10"/>
      <scheme val="major"/>
    </font>
    <font>
      <name val="宋体"/>
      <charset val="134"/>
      <family val="3"/>
      <sz val="11"/>
      <scheme val="major"/>
    </font>
    <font>
      <name val="Times New Roman"/>
      <family val="1"/>
      <sz val="9"/>
    </font>
    <font>
      <name val="宋体"/>
      <charset val="134"/>
      <family val="3"/>
      <color theme="1"/>
      <sz val="9"/>
    </font>
    <font>
      <name val="Arial"/>
      <family val="2"/>
      <color theme="1"/>
      <sz val="9"/>
    </font>
    <font>
      <name val="Times New Roman"/>
      <family val="1"/>
      <sz val="8"/>
    </font>
    <font>
      <name val="Times New Roman"/>
      <family val="1"/>
      <sz val="9"/>
      <vertAlign val="superscript"/>
    </font>
    <font>
      <name val="宋体"/>
      <charset val="134"/>
      <family val="3"/>
      <sz val="9"/>
      <vertAlign val="superscript"/>
    </font>
    <font>
      <name val="Times New Roman"/>
      <family val="1"/>
      <sz val="12"/>
    </font>
    <font>
      <name val="Times New Roman"/>
      <family val="1"/>
      <color indexed="8"/>
      <sz val="12"/>
    </font>
    <font>
      <name val="Times New Roman"/>
      <family val="1"/>
      <b val="1"/>
      <sz val="12"/>
    </font>
    <font>
      <name val="Times New Roman"/>
      <family val="1"/>
      <b val="1"/>
      <color theme="1"/>
      <sz val="18"/>
    </font>
    <font>
      <name val="Times New Roman"/>
      <family val="1"/>
      <sz val="11"/>
    </font>
    <font>
      <name val="Times New Roman"/>
      <family val="1"/>
      <color theme="1"/>
      <sz val="9"/>
    </font>
    <font>
      <name val="宋体"/>
      <charset val="134"/>
      <family val="3"/>
      <b val="1"/>
      <sz val="14"/>
    </font>
    <font>
      <name val="宋体"/>
      <charset val="134"/>
      <family val="3"/>
      <b val="1"/>
      <color theme="1"/>
      <sz val="14"/>
    </font>
    <font>
      <name val="Times New Roman"/>
      <family val="1"/>
      <color indexed="8"/>
      <sz val="11"/>
    </font>
    <font>
      <name val="Times New Roman"/>
      <family val="1"/>
      <color indexed="8"/>
      <sz val="10"/>
    </font>
    <font>
      <name val="微软雅黑"/>
      <charset val="134"/>
      <family val="2"/>
      <color rgb="FF000000"/>
      <sz val="10"/>
    </font>
    <font>
      <name val="微软雅黑"/>
      <charset val="134"/>
      <family val="2"/>
      <color theme="1"/>
      <sz val="10"/>
    </font>
    <font>
      <name val="Times New Roman"/>
      <family val="1"/>
      <b val="1"/>
      <color theme="1"/>
      <sz val="12"/>
    </font>
    <font>
      <name val="Times New Roman"/>
      <family val="1"/>
      <b val="1"/>
      <color theme="1"/>
      <sz val="16"/>
    </font>
    <font>
      <name val="Times New Roman"/>
      <family val="1"/>
      <b val="1"/>
      <color indexed="8"/>
      <sz val="14"/>
    </font>
    <font>
      <name val="Times New Roman"/>
      <family val="1"/>
      <b val="1"/>
      <color theme="1"/>
      <sz val="14"/>
    </font>
    <font>
      <name val="宋体"/>
      <charset val="134"/>
      <family val="2"/>
      <sz val="9"/>
      <scheme val="minor"/>
    </font>
    <font>
      <name val="Times New Roman"/>
      <charset val="134"/>
      <family val="3"/>
      <color theme="1"/>
      <sz val="9"/>
    </font>
    <font>
      <name val="宋体"/>
      <charset val="134"/>
      <family val="3"/>
      <i val="1"/>
      <color theme="4"/>
      <sz val="9"/>
    </font>
    <font>
      <name val="等线"/>
      <charset val="134"/>
      <family val="2"/>
      <color theme="1"/>
      <sz val="9"/>
    </font>
    <font>
      <name val="宋体"/>
      <charset val="134"/>
      <family val="3"/>
      <sz val="8"/>
      <scheme val="minor"/>
    </font>
    <font>
      <name val="宋体"/>
      <charset val="134"/>
      <family val="3"/>
      <sz val="9"/>
      <vertAlign val="superscript"/>
      <scheme val="minor"/>
    </font>
    <font>
      <name val="宋体"/>
      <charset val="134"/>
      <family val="3"/>
      <sz val="10"/>
      <scheme val="minor"/>
    </font>
    <font>
      <name val="宋体"/>
      <charset val="134"/>
      <family val="3"/>
      <sz val="12"/>
      <scheme val="minor"/>
    </font>
    <font>
      <name val="Arial"/>
      <family val="1"/>
      <sz val="9"/>
    </font>
    <font>
      <name val="Times New Roman"/>
      <charset val="134"/>
      <family val="3"/>
      <b val="1"/>
      <color theme="1"/>
      <sz val="14"/>
    </font>
    <font>
      <name val="宋体"/>
      <charset val="134"/>
      <family val="3"/>
      <b val="1"/>
      <color rgb="FF000000"/>
      <sz val="20"/>
    </font>
    <font>
      <name val="Times New Roman"/>
      <family val="1"/>
      <b val="1"/>
      <color rgb="FF000000"/>
      <sz val="20"/>
    </font>
  </fonts>
  <fills count="49">
    <fill>
      <patternFill/>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22"/>
      </patternFill>
    </fill>
    <fill>
      <patternFill patternType="solid">
        <fgColor indexed="55"/>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43"/>
      </patternFill>
    </fill>
    <fill>
      <patternFill patternType="solid">
        <fgColor indexed="26"/>
      </patternFill>
    </fill>
    <fill>
      <patternFill patternType="solid">
        <fgColor indexed="65"/>
        <bgColor indexed="64"/>
      </patternFill>
    </fill>
    <fill>
      <patternFill patternType="solid">
        <fgColor indexed="47"/>
        <bgColor indexed="64"/>
      </patternFill>
    </fill>
    <fill>
      <patternFill patternType="solid">
        <fgColor indexed="9"/>
        <bgColor indexed="64"/>
      </patternFill>
    </fill>
    <fill>
      <patternFill patternType="solid">
        <fgColor indexed="31"/>
        <bgColor indexed="64"/>
      </patternFill>
    </fill>
    <fill>
      <patternFill patternType="solid">
        <fgColor indexed="13"/>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2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36"/>
        <bgColor indexed="64"/>
      </patternFill>
    </fill>
    <fill>
      <patternFill patternType="solid">
        <fgColor indexed="49"/>
        <bgColor indexed="64"/>
      </patternFill>
    </fill>
    <fill>
      <patternFill patternType="solid">
        <fgColor indexed="52"/>
        <bgColor indexed="64"/>
      </patternFill>
    </fill>
    <fill>
      <patternFill patternType="solid">
        <fgColor indexed="22"/>
        <bgColor indexed="64"/>
      </patternFill>
    </fill>
    <fill>
      <patternFill patternType="solid">
        <fgColor indexed="55"/>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43"/>
        <bgColor indexed="64"/>
      </patternFill>
    </fill>
    <fill>
      <patternFill patternType="solid">
        <fgColor indexed="26"/>
        <bgColor indexed="64"/>
      </patternFill>
    </fill>
  </fills>
  <borders count="25">
    <border>
      <left/>
      <right/>
      <top/>
      <bottom/>
      <diagonal/>
    </border>
    <border>
      <left style="thin">
        <color indexed="64"/>
      </left>
      <right style="thin">
        <color indexed="64"/>
      </right>
      <top style="thin">
        <color indexed="64"/>
      </top>
      <bottom style="thin">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style="thin">
        <color indexed="62"/>
      </top>
      <bottom style="double">
        <color indexed="62"/>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double">
        <color indexed="52"/>
      </bottom>
      <diagonal/>
    </border>
    <border>
      <left style="thin">
        <color indexed="63"/>
      </left>
      <right style="thin">
        <color indexed="63"/>
      </right>
      <top style="thin">
        <color indexed="63"/>
      </top>
      <bottom style="thin">
        <color indexed="63"/>
      </bottom>
      <diagonal/>
    </border>
    <border>
      <left style="thin">
        <color indexed="22"/>
      </left>
      <right style="thin">
        <color indexed="22"/>
      </right>
      <top style="thin">
        <color indexed="22"/>
      </top>
      <bottom style="thin">
        <color indexed="22"/>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top/>
      <bottom style="thin">
        <color indexed="64"/>
      </bottom>
      <diagonal/>
    </border>
    <border>
      <left/>
      <right/>
      <top style="thin">
        <color indexed="64"/>
      </top>
      <bottom/>
      <diagonal/>
    </border>
    <border>
      <left style="thin">
        <color indexed="64"/>
      </left>
      <right/>
      <top/>
      <bottom style="thin">
        <color indexed="64"/>
      </bottom>
      <diagonal/>
    </border>
    <border>
      <left style="thin">
        <color indexed="64"/>
      </left>
      <right/>
      <top style="thin">
        <color indexed="64"/>
      </top>
      <bottom/>
      <diagonal/>
    </border>
    <border>
      <left style="thin">
        <color indexed="64"/>
      </left>
      <right/>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style="thin">
        <color indexed="64"/>
      </right>
      <top style="thin">
        <color indexed="64"/>
      </top>
      <bottom/>
      <diagonal/>
    </border>
    <border>
      <left/>
      <right style="thin">
        <color indexed="64"/>
      </right>
      <top/>
      <bottom/>
      <diagonal/>
    </border>
    <border>
      <left/>
      <right style="thin">
        <color indexed="64"/>
      </right>
      <top/>
      <bottom style="thin">
        <color indexed="64"/>
      </bottom>
      <diagonal/>
    </border>
  </borders>
  <cellStyleXfs count="112">
    <xf numFmtId="0" fontId="4" fillId="0" borderId="0"/>
    <xf numFmtId="0" fontId="32" fillId="2" borderId="0" applyAlignment="1">
      <alignment vertical="center"/>
    </xf>
    <xf numFmtId="0" fontId="32" fillId="3" borderId="0" applyAlignment="1">
      <alignment vertical="center"/>
    </xf>
    <xf numFmtId="0" fontId="32" fillId="4" borderId="0" applyAlignment="1">
      <alignment vertical="center"/>
    </xf>
    <xf numFmtId="0" fontId="32" fillId="5" borderId="0" applyAlignment="1">
      <alignment vertical="center"/>
    </xf>
    <xf numFmtId="0" fontId="32" fillId="6" borderId="0" applyAlignment="1">
      <alignment vertical="center"/>
    </xf>
    <xf numFmtId="0" fontId="32" fillId="7" borderId="0" applyAlignment="1">
      <alignment vertical="center"/>
    </xf>
    <xf numFmtId="0" fontId="32" fillId="8" borderId="0" applyAlignment="1">
      <alignment vertical="center"/>
    </xf>
    <xf numFmtId="0" fontId="32" fillId="9" borderId="0" applyAlignment="1">
      <alignment vertical="center"/>
    </xf>
    <xf numFmtId="0" fontId="32" fillId="10" borderId="0" applyAlignment="1">
      <alignment vertical="center"/>
    </xf>
    <xf numFmtId="0" fontId="32" fillId="5" borderId="0" applyAlignment="1">
      <alignment vertical="center"/>
    </xf>
    <xf numFmtId="0" fontId="32" fillId="8" borderId="0" applyAlignment="1">
      <alignment vertical="center"/>
    </xf>
    <xf numFmtId="0" fontId="32" fillId="11" borderId="0" applyAlignment="1">
      <alignment vertical="center"/>
    </xf>
    <xf numFmtId="0" fontId="33" fillId="12" borderId="0" applyAlignment="1">
      <alignment vertical="center"/>
    </xf>
    <xf numFmtId="0" fontId="33" fillId="9" borderId="0" applyAlignment="1">
      <alignment vertical="center"/>
    </xf>
    <xf numFmtId="0" fontId="33" fillId="10" borderId="0" applyAlignment="1">
      <alignment vertical="center"/>
    </xf>
    <xf numFmtId="0" fontId="33" fillId="13" borderId="0" applyAlignment="1">
      <alignment vertical="center"/>
    </xf>
    <xf numFmtId="0" fontId="33" fillId="14" borderId="0" applyAlignment="1">
      <alignment vertical="center"/>
    </xf>
    <xf numFmtId="0" fontId="33" fillId="15" borderId="0" applyAlignment="1">
      <alignment vertical="center"/>
    </xf>
    <xf numFmtId="0" fontId="11" fillId="0" borderId="1" applyAlignment="1" applyProtection="1">
      <alignment horizontal="left" vertical="center"/>
      <protection locked="0" hidden="0"/>
    </xf>
    <xf numFmtId="0" fontId="4" fillId="0" borderId="0"/>
    <xf numFmtId="0" fontId="14" fillId="0" borderId="0"/>
    <xf numFmtId="0" fontId="4" fillId="0" borderId="0"/>
    <xf numFmtId="0" fontId="12" fillId="0" borderId="1" applyAlignment="1" applyProtection="1">
      <alignment horizontal="center" vertical="center"/>
      <protection locked="0" hidden="0"/>
    </xf>
    <xf numFmtId="0" fontId="34" fillId="0" borderId="0" applyAlignment="1">
      <alignment vertical="center"/>
    </xf>
    <xf numFmtId="0" fontId="35" fillId="0" borderId="2" applyAlignment="1">
      <alignment vertical="center"/>
    </xf>
    <xf numFmtId="0" fontId="36" fillId="0" borderId="3" applyAlignment="1">
      <alignment vertical="center"/>
    </xf>
    <xf numFmtId="0" fontId="37" fillId="0" borderId="4" applyAlignment="1">
      <alignment vertical="center"/>
    </xf>
    <xf numFmtId="0" fontId="37" fillId="0" borderId="0" applyAlignment="1">
      <alignment vertical="center"/>
    </xf>
    <xf numFmtId="0" fontId="38" fillId="3" borderId="0" applyAlignment="1">
      <alignment vertical="center"/>
    </xf>
    <xf numFmtId="0" fontId="39" fillId="4" borderId="0" applyAlignment="1">
      <alignment vertical="center"/>
    </xf>
    <xf numFmtId="0" fontId="40" fillId="0" borderId="5" applyAlignment="1">
      <alignment vertical="center"/>
    </xf>
    <xf numFmtId="0" fontId="41" fillId="16" borderId="6" applyAlignment="1">
      <alignment vertical="center"/>
    </xf>
    <xf numFmtId="0" fontId="42" fillId="17" borderId="7" applyAlignment="1">
      <alignment vertical="center"/>
    </xf>
    <xf numFmtId="0" fontId="43" fillId="0" borderId="0" applyAlignment="1">
      <alignment vertical="center"/>
    </xf>
    <xf numFmtId="0" fontId="44" fillId="0" borderId="0" applyAlignment="1">
      <alignment vertical="center"/>
    </xf>
    <xf numFmtId="0" fontId="45" fillId="0" borderId="8" applyAlignment="1">
      <alignment vertical="center"/>
    </xf>
    <xf numFmtId="0" fontId="33" fillId="18" borderId="0" applyAlignment="1">
      <alignment vertical="center"/>
    </xf>
    <xf numFmtId="0" fontId="33" fillId="19" borderId="0" applyAlignment="1">
      <alignment vertical="center"/>
    </xf>
    <xf numFmtId="0" fontId="33" fillId="20" borderId="0" applyAlignment="1">
      <alignment vertical="center"/>
    </xf>
    <xf numFmtId="0" fontId="33" fillId="13" borderId="0" applyAlignment="1">
      <alignment vertical="center"/>
    </xf>
    <xf numFmtId="0" fontId="33" fillId="14" borderId="0" applyAlignment="1">
      <alignment vertical="center"/>
    </xf>
    <xf numFmtId="0" fontId="33" fillId="21" borderId="0" applyAlignment="1">
      <alignment vertical="center"/>
    </xf>
    <xf numFmtId="0" fontId="46" fillId="22" borderId="0" applyAlignment="1">
      <alignment vertical="center"/>
    </xf>
    <xf numFmtId="0" fontId="47" fillId="16" borderId="9" applyAlignment="1">
      <alignment vertical="center"/>
    </xf>
    <xf numFmtId="0" fontId="48" fillId="7" borderId="6" applyAlignment="1">
      <alignment vertical="center"/>
    </xf>
    <xf numFmtId="0" fontId="4" fillId="23" borderId="10" applyAlignment="1">
      <alignment vertical="center"/>
    </xf>
    <xf numFmtId="0" fontId="50" fillId="0" borderId="0" applyAlignment="1">
      <alignment vertical="center"/>
    </xf>
    <xf numFmtId="0" fontId="51" fillId="0" borderId="0" applyAlignment="1">
      <alignment vertical="center"/>
    </xf>
    <xf numFmtId="0" fontId="32" fillId="27" borderId="0" applyAlignment="1">
      <alignment vertical="center"/>
    </xf>
    <xf numFmtId="0" fontId="32" fillId="29" borderId="0" applyAlignment="1">
      <alignment vertical="center"/>
    </xf>
    <xf numFmtId="0" fontId="32" fillId="30" borderId="0" applyAlignment="1">
      <alignment vertical="center"/>
    </xf>
    <xf numFmtId="0" fontId="32" fillId="31" borderId="0" applyAlignment="1">
      <alignment vertical="center"/>
    </xf>
    <xf numFmtId="0" fontId="32" fillId="32" borderId="0" applyAlignment="1">
      <alignment vertical="center"/>
    </xf>
    <xf numFmtId="0" fontId="32" fillId="25" borderId="0" applyAlignment="1">
      <alignment vertical="center"/>
    </xf>
    <xf numFmtId="0" fontId="32" fillId="33" borderId="0" applyAlignment="1">
      <alignment vertical="center"/>
    </xf>
    <xf numFmtId="0" fontId="32" fillId="34" borderId="0" applyAlignment="1">
      <alignment vertical="center"/>
    </xf>
    <xf numFmtId="0" fontId="32" fillId="35" borderId="0" applyAlignment="1">
      <alignment vertical="center"/>
    </xf>
    <xf numFmtId="0" fontId="32" fillId="31" borderId="0" applyAlignment="1">
      <alignment vertical="center"/>
    </xf>
    <xf numFmtId="0" fontId="32" fillId="33" borderId="0" applyAlignment="1">
      <alignment vertical="center"/>
    </xf>
    <xf numFmtId="0" fontId="32" fillId="36" borderId="0" applyAlignment="1">
      <alignment vertical="center"/>
    </xf>
    <xf numFmtId="0" fontId="33" fillId="37" borderId="0" applyAlignment="1">
      <alignment vertical="center"/>
    </xf>
    <xf numFmtId="0" fontId="33" fillId="34" borderId="0" applyAlignment="1">
      <alignment vertical="center"/>
    </xf>
    <xf numFmtId="0" fontId="33" fillId="35" borderId="0" applyAlignment="1">
      <alignment vertical="center"/>
    </xf>
    <xf numFmtId="0" fontId="33" fillId="38" borderId="0" applyAlignment="1">
      <alignment vertical="center"/>
    </xf>
    <xf numFmtId="0" fontId="33" fillId="39" borderId="0" applyAlignment="1">
      <alignment vertical="center"/>
    </xf>
    <xf numFmtId="0" fontId="33" fillId="40" borderId="0" applyAlignment="1">
      <alignment vertical="center"/>
    </xf>
    <xf numFmtId="0" fontId="35" fillId="0" borderId="2" applyAlignment="1">
      <alignment vertical="center"/>
    </xf>
    <xf numFmtId="0" fontId="36" fillId="0" borderId="3" applyAlignment="1">
      <alignment vertical="center"/>
    </xf>
    <xf numFmtId="0" fontId="37" fillId="0" borderId="4" applyAlignment="1">
      <alignment vertical="center"/>
    </xf>
    <xf numFmtId="0" fontId="37" fillId="0" borderId="0" applyAlignment="1">
      <alignment vertical="center"/>
    </xf>
    <xf numFmtId="0" fontId="34" fillId="0" borderId="0" applyAlignment="1">
      <alignment vertical="center"/>
    </xf>
    <xf numFmtId="0" fontId="38" fillId="29" borderId="0" applyAlignment="1">
      <alignment vertical="center"/>
    </xf>
    <xf numFmtId="0" fontId="38" fillId="29" borderId="0" applyAlignment="1">
      <alignment vertical="center"/>
    </xf>
    <xf numFmtId="0" fontId="38" fillId="29" borderId="0" applyAlignment="1">
      <alignment vertical="center"/>
    </xf>
    <xf numFmtId="0" fontId="38" fillId="29" borderId="0" applyAlignment="1">
      <alignment vertical="center"/>
    </xf>
    <xf numFmtId="0" fontId="38" fillId="29" borderId="0" applyAlignment="1">
      <alignment vertical="center"/>
    </xf>
    <xf numFmtId="0" fontId="38" fillId="29" borderId="0" applyAlignment="1">
      <alignment vertical="center"/>
    </xf>
    <xf numFmtId="0" fontId="38" fillId="29" borderId="0" applyAlignment="1">
      <alignment vertical="center"/>
    </xf>
    <xf numFmtId="0" fontId="50" fillId="0" borderId="0" applyAlignment="1">
      <alignment vertical="center"/>
    </xf>
    <xf numFmtId="0" fontId="50" fillId="0" borderId="0"/>
    <xf numFmtId="0" fontId="32" fillId="0" borderId="0" applyAlignment="1">
      <alignment vertical="center"/>
    </xf>
    <xf numFmtId="0" fontId="32" fillId="0" borderId="0" applyAlignment="1">
      <alignment vertical="center"/>
    </xf>
    <xf numFmtId="0" fontId="32" fillId="0" borderId="0" applyAlignment="1">
      <alignment vertical="center"/>
    </xf>
    <xf numFmtId="0" fontId="39" fillId="30" borderId="0" applyAlignment="1">
      <alignment vertical="center"/>
    </xf>
    <xf numFmtId="0" fontId="39" fillId="30" borderId="0" applyAlignment="1">
      <alignment vertical="center"/>
    </xf>
    <xf numFmtId="0" fontId="39" fillId="30" borderId="0" applyAlignment="1">
      <alignment vertical="center"/>
    </xf>
    <xf numFmtId="0" fontId="39" fillId="30" borderId="0" applyAlignment="1">
      <alignment vertical="center"/>
    </xf>
    <xf numFmtId="0" fontId="39" fillId="30" borderId="0" applyAlignment="1">
      <alignment vertical="center"/>
    </xf>
    <xf numFmtId="0" fontId="39" fillId="30" borderId="0" applyAlignment="1">
      <alignment vertical="center"/>
    </xf>
    <xf numFmtId="0" fontId="39" fillId="30" borderId="0" applyAlignment="1">
      <alignment vertical="center"/>
    </xf>
    <xf numFmtId="0" fontId="40" fillId="0" borderId="5" applyAlignment="1">
      <alignment vertical="center"/>
    </xf>
    <xf numFmtId="0" fontId="41" fillId="41" borderId="6" applyAlignment="1">
      <alignment vertical="center"/>
    </xf>
    <xf numFmtId="0" fontId="42" fillId="42" borderId="7" applyAlignment="1">
      <alignment vertical="center"/>
    </xf>
    <xf numFmtId="0" fontId="43" fillId="0" borderId="0" applyAlignment="1">
      <alignment vertical="center"/>
    </xf>
    <xf numFmtId="0" fontId="44" fillId="0" borderId="0" applyAlignment="1">
      <alignment vertical="center"/>
    </xf>
    <xf numFmtId="0" fontId="45" fillId="0" borderId="8" applyAlignment="1">
      <alignment vertical="center"/>
    </xf>
    <xf numFmtId="0" fontId="33" fillId="43" borderId="0" applyAlignment="1">
      <alignment vertical="center"/>
    </xf>
    <xf numFmtId="0" fontId="33" fillId="44" borderId="0" applyAlignment="1">
      <alignment vertical="center"/>
    </xf>
    <xf numFmtId="0" fontId="33" fillId="45" borderId="0" applyAlignment="1">
      <alignment vertical="center"/>
    </xf>
    <xf numFmtId="0" fontId="33" fillId="38" borderId="0" applyAlignment="1">
      <alignment vertical="center"/>
    </xf>
    <xf numFmtId="0" fontId="33" fillId="39" borderId="0" applyAlignment="1">
      <alignment vertical="center"/>
    </xf>
    <xf numFmtId="0" fontId="33" fillId="46" borderId="0" applyAlignment="1">
      <alignment vertical="center"/>
    </xf>
    <xf numFmtId="0" fontId="46" fillId="47" borderId="0" applyAlignment="1">
      <alignment vertical="center"/>
    </xf>
    <xf numFmtId="0" fontId="47" fillId="41" borderId="9" applyAlignment="1">
      <alignment vertical="center"/>
    </xf>
    <xf numFmtId="0" fontId="48" fillId="25" borderId="6" applyAlignment="1">
      <alignment vertical="center"/>
    </xf>
    <xf numFmtId="0" fontId="56" fillId="0" borderId="0"/>
    <xf numFmtId="0" fontId="32" fillId="48" borderId="10" applyAlignment="1">
      <alignment vertical="center"/>
    </xf>
    <xf numFmtId="0" fontId="50" fillId="0" borderId="0"/>
    <xf numFmtId="168" fontId="50" fillId="0" borderId="0" applyAlignment="1">
      <alignment vertical="center"/>
    </xf>
    <xf numFmtId="0" fontId="50" fillId="0" borderId="0" applyAlignment="1">
      <alignment vertical="center"/>
    </xf>
    <xf numFmtId="0" fontId="32" fillId="0" borderId="0" applyAlignment="1">
      <alignment vertical="center"/>
    </xf>
  </cellStyleXfs>
  <cellXfs count="424">
    <xf numFmtId="0" fontId="0" fillId="0" borderId="0" pivotButton="0" quotePrefix="0" xfId="0"/>
    <xf numFmtId="0" fontId="10" fillId="0" borderId="0" applyAlignment="1" pivotButton="0" quotePrefix="0" xfId="0">
      <alignment horizontal="center"/>
    </xf>
    <xf numFmtId="0" fontId="0" fillId="0" borderId="0" applyAlignment="1" pivotButton="0" quotePrefix="0" xfId="0">
      <alignment vertical="center"/>
    </xf>
    <xf numFmtId="15" fontId="6" fillId="0" borderId="0" applyAlignment="1" pivotButton="0" quotePrefix="0" xfId="22">
      <alignment horizontal="left" wrapText="1"/>
    </xf>
    <xf numFmtId="2" fontId="6" fillId="0" borderId="0" applyAlignment="1" pivotButton="0" quotePrefix="0" xfId="22">
      <alignment horizontal="left" wrapText="1"/>
    </xf>
    <xf numFmtId="0" fontId="6" fillId="0" borderId="0" applyAlignment="1" pivotButton="0" quotePrefix="0" xfId="22">
      <alignment horizontal="left" wrapText="1"/>
    </xf>
    <xf numFmtId="15" fontId="1" fillId="0" borderId="0" applyAlignment="1" pivotButton="0" quotePrefix="0" xfId="22">
      <alignment horizontal="left" vertical="top" wrapText="1"/>
    </xf>
    <xf numFmtId="2" fontId="1" fillId="0" borderId="0" applyAlignment="1" pivotButton="0" quotePrefix="0" xfId="22">
      <alignment horizontal="left" vertical="top" wrapText="1"/>
    </xf>
    <xf numFmtId="0" fontId="1" fillId="0" borderId="0" applyAlignment="1" pivotButton="0" quotePrefix="0" xfId="22">
      <alignment horizontal="left" vertical="top" wrapText="1"/>
    </xf>
    <xf numFmtId="0" fontId="1" fillId="0" borderId="0" applyAlignment="1" pivotButton="0" quotePrefix="0" xfId="22">
      <alignment horizontal="left" vertical="top" wrapText="1"/>
    </xf>
    <xf numFmtId="15" fontId="1" fillId="0" borderId="0" applyAlignment="1" pivotButton="0" quotePrefix="0" xfId="22">
      <alignment horizontal="left" vertical="top" wrapText="1"/>
    </xf>
    <xf numFmtId="2" fontId="1" fillId="0" borderId="0" applyAlignment="1" pivotButton="0" quotePrefix="0" xfId="22">
      <alignment horizontal="left" vertical="top" wrapText="1"/>
    </xf>
    <xf numFmtId="2" fontId="1" fillId="0" borderId="0" applyAlignment="1" pivotButton="0" quotePrefix="1" xfId="22">
      <alignment horizontal="left" vertical="top" wrapText="1"/>
    </xf>
    <xf numFmtId="0" fontId="6" fillId="0" borderId="0" pivotButton="0" quotePrefix="0" xfId="0"/>
    <xf numFmtId="0" fontId="14" fillId="0" borderId="0" applyAlignment="1" pivotButton="0" quotePrefix="0" xfId="21">
      <alignment vertical="top"/>
    </xf>
    <xf numFmtId="0" fontId="14" fillId="0" borderId="0" pivotButton="0" quotePrefix="0" xfId="21"/>
    <xf numFmtId="164" fontId="18" fillId="24" borderId="0" applyAlignment="1" pivotButton="0" quotePrefix="0" xfId="21">
      <alignment horizontal="center" wrapText="1"/>
    </xf>
    <xf numFmtId="0" fontId="2" fillId="24" borderId="0" pivotButton="0" quotePrefix="0" xfId="21"/>
    <xf numFmtId="164" fontId="18" fillId="24" borderId="0" pivotButton="0" quotePrefix="0" xfId="21"/>
    <xf numFmtId="0" fontId="14" fillId="24" borderId="0" applyAlignment="1" pivotButton="0" quotePrefix="0" xfId="21">
      <alignment wrapText="1"/>
    </xf>
    <xf numFmtId="0" fontId="4" fillId="24" borderId="0" applyAlignment="1" pivotButton="0" quotePrefix="0" xfId="21">
      <alignment wrapText="1"/>
    </xf>
    <xf numFmtId="0" fontId="4" fillId="24" borderId="0" applyAlignment="1" pivotButton="0" quotePrefix="0" xfId="21">
      <alignment wrapText="1"/>
    </xf>
    <xf numFmtId="164" fontId="18" fillId="24" borderId="0" applyAlignment="1" pivotButton="0" quotePrefix="0" xfId="21">
      <alignment wrapText="1"/>
    </xf>
    <xf numFmtId="0" fontId="20" fillId="24" borderId="0" pivotButton="0" quotePrefix="0" xfId="21"/>
    <xf numFmtId="0" fontId="5" fillId="24" borderId="0" applyAlignment="1" pivotButton="0" quotePrefix="0" xfId="21">
      <alignment wrapText="1"/>
    </xf>
    <xf numFmtId="0" fontId="2" fillId="24" borderId="0" applyAlignment="1" pivotButton="0" quotePrefix="0" xfId="21">
      <alignment wrapText="1"/>
    </xf>
    <xf numFmtId="0" fontId="4" fillId="0" borderId="0" pivotButton="0" quotePrefix="0" xfId="21"/>
    <xf numFmtId="0" fontId="4" fillId="0" borderId="0" applyAlignment="1" pivotButton="0" quotePrefix="0" xfId="21">
      <alignment vertical="top"/>
    </xf>
    <xf numFmtId="0" fontId="14" fillId="26" borderId="0" applyAlignment="1" applyProtection="1" pivotButton="0" quotePrefix="0" xfId="21">
      <alignment horizontal="left"/>
      <protection locked="0" hidden="0"/>
    </xf>
    <xf numFmtId="0" fontId="25" fillId="26" borderId="0" applyAlignment="1" applyProtection="1" pivotButton="0" quotePrefix="0" xfId="21">
      <alignment horizontal="centerContinuous"/>
      <protection locked="0" hidden="0"/>
    </xf>
    <xf numFmtId="0" fontId="4" fillId="26" borderId="0" applyProtection="1" pivotButton="0" quotePrefix="0" xfId="21">
      <protection locked="0" hidden="0"/>
    </xf>
    <xf numFmtId="0" fontId="25" fillId="26" borderId="0" applyAlignment="1" applyProtection="1" pivotButton="0" quotePrefix="0" xfId="21">
      <alignment horizontal="left"/>
      <protection locked="0" hidden="0"/>
    </xf>
    <xf numFmtId="0" fontId="14" fillId="26" borderId="14" applyAlignment="1" applyProtection="1" pivotButton="0" quotePrefix="0" xfId="21">
      <alignment horizontal="left"/>
      <protection locked="0" hidden="0"/>
    </xf>
    <xf numFmtId="0" fontId="4" fillId="26" borderId="14" applyAlignment="1" applyProtection="1" pivotButton="0" quotePrefix="0" xfId="21">
      <alignment horizontal="right"/>
      <protection locked="0" hidden="0"/>
    </xf>
    <xf numFmtId="1" fontId="6" fillId="26" borderId="14" applyAlignment="1" pivotButton="0" quotePrefix="0" xfId="21">
      <alignment horizontal="left"/>
    </xf>
    <xf numFmtId="0" fontId="5" fillId="26" borderId="14" applyProtection="1" pivotButton="0" quotePrefix="0" xfId="21">
      <protection locked="0" hidden="0"/>
    </xf>
    <xf numFmtId="0" fontId="25" fillId="26" borderId="14" applyAlignment="1" applyProtection="1" pivotButton="0" quotePrefix="0" xfId="21">
      <alignment horizontal="centerContinuous"/>
      <protection locked="0" hidden="0"/>
    </xf>
    <xf numFmtId="0" fontId="4" fillId="26" borderId="14" applyProtection="1" pivotButton="0" quotePrefix="0" xfId="21">
      <protection locked="0" hidden="0"/>
    </xf>
    <xf numFmtId="0" fontId="3" fillId="0" borderId="0" pivotButton="0" quotePrefix="0" xfId="21"/>
    <xf numFmtId="0" fontId="2" fillId="0" borderId="0" pivotButton="0" quotePrefix="0" xfId="21"/>
    <xf numFmtId="0" fontId="15" fillId="26" borderId="0" applyAlignment="1" pivotButton="0" quotePrefix="0" xfId="21">
      <alignment horizontal="left"/>
    </xf>
    <xf numFmtId="0" fontId="3" fillId="26" borderId="1" applyAlignment="1" pivotButton="0" quotePrefix="0" xfId="21">
      <alignment horizontal="center" vertical="center" wrapText="1"/>
    </xf>
    <xf numFmtId="0" fontId="6" fillId="26" borderId="1" applyAlignment="1" pivotButton="0" quotePrefix="0" xfId="21">
      <alignment horizontal="center" vertical="center" wrapText="1"/>
    </xf>
    <xf numFmtId="0" fontId="3" fillId="0" borderId="1" applyAlignment="1" pivotButton="0" quotePrefix="0" xfId="21">
      <alignment horizontal="center" vertical="center" wrapText="1"/>
    </xf>
    <xf numFmtId="0" fontId="17" fillId="0" borderId="1" applyAlignment="1" pivotButton="0" quotePrefix="0" xfId="21">
      <alignment horizontal="center" vertical="center" wrapText="1"/>
    </xf>
    <xf numFmtId="0" fontId="2" fillId="0" borderId="1" applyAlignment="1" pivotButton="0" quotePrefix="0" xfId="21">
      <alignment horizontal="center" vertical="center"/>
    </xf>
    <xf numFmtId="0" fontId="14" fillId="0" borderId="1" applyAlignment="1" pivotButton="0" quotePrefix="0" xfId="21">
      <alignment horizontal="center" vertical="center" wrapText="1"/>
    </xf>
    <xf numFmtId="0" fontId="23" fillId="26" borderId="0" applyAlignment="1" applyProtection="1" pivotButton="0" quotePrefix="0" xfId="21">
      <alignment horizontal="centerContinuous" vertical="top"/>
      <protection locked="0" hidden="0"/>
    </xf>
    <xf numFmtId="0" fontId="24" fillId="26" borderId="0" applyAlignment="1" applyProtection="1" pivotButton="0" quotePrefix="0" xfId="21">
      <alignment horizontal="centerContinuous" vertical="top"/>
      <protection locked="0" hidden="0"/>
    </xf>
    <xf numFmtId="0" fontId="14" fillId="26" borderId="0" applyAlignment="1" applyProtection="1" pivotButton="0" quotePrefix="0" xfId="21">
      <alignment horizontal="centerContinuous" vertical="top"/>
      <protection locked="0" hidden="0"/>
    </xf>
    <xf numFmtId="0" fontId="13" fillId="26" borderId="0" applyAlignment="1" applyProtection="1" pivotButton="0" quotePrefix="0" xfId="21">
      <alignment horizontal="centerContinuous" vertical="top"/>
      <protection locked="0" hidden="0"/>
    </xf>
    <xf numFmtId="0" fontId="2" fillId="26" borderId="0" applyAlignment="1" applyProtection="1" pivotButton="0" quotePrefix="0" xfId="21">
      <alignment horizontal="centerContinuous" vertical="top"/>
      <protection locked="0" hidden="0"/>
    </xf>
    <xf numFmtId="0" fontId="15" fillId="26" borderId="0" applyAlignment="1" applyProtection="1" pivotButton="0" quotePrefix="0" xfId="21">
      <alignment horizontal="centerContinuous" vertical="top"/>
      <protection locked="0" hidden="0"/>
    </xf>
    <xf numFmtId="0" fontId="25" fillId="26" borderId="0" applyAlignment="1" applyProtection="1" pivotButton="0" quotePrefix="0" xfId="21">
      <alignment horizontal="centerContinuous" vertical="top"/>
      <protection locked="0" hidden="0"/>
    </xf>
    <xf numFmtId="0" fontId="16" fillId="26" borderId="0" applyAlignment="1" applyProtection="1" pivotButton="0" quotePrefix="0" xfId="21">
      <alignment horizontal="centerContinuous" vertical="top"/>
      <protection locked="0" hidden="0"/>
    </xf>
    <xf numFmtId="0" fontId="4" fillId="26" borderId="0" applyAlignment="1" applyProtection="1" pivotButton="0" quotePrefix="0" xfId="21">
      <alignment horizontal="centerContinuous" vertical="top"/>
      <protection locked="0" hidden="0"/>
    </xf>
    <xf numFmtId="0" fontId="4" fillId="26" borderId="12" applyAlignment="1" applyProtection="1" pivotButton="0" quotePrefix="0" xfId="21">
      <alignment horizontal="right"/>
      <protection locked="0" hidden="0"/>
    </xf>
    <xf numFmtId="1" fontId="6" fillId="26" borderId="12" applyAlignment="1" pivotButton="0" quotePrefix="0" xfId="21">
      <alignment horizontal="left"/>
    </xf>
    <xf numFmtId="0" fontId="5" fillId="26" borderId="12" applyProtection="1" pivotButton="0" quotePrefix="0" xfId="21">
      <protection locked="0" hidden="0"/>
    </xf>
    <xf numFmtId="0" fontId="14" fillId="26" borderId="0" applyAlignment="1" applyProtection="1" pivotButton="0" quotePrefix="0" xfId="21">
      <alignment horizontal="left"/>
      <protection locked="0" hidden="0"/>
    </xf>
    <xf numFmtId="0" fontId="4" fillId="26" borderId="0" applyProtection="1" pivotButton="0" quotePrefix="0" xfId="21">
      <protection locked="0" hidden="0"/>
    </xf>
    <xf numFmtId="1" fontId="15" fillId="26" borderId="14" applyAlignment="1" pivotButton="0" quotePrefix="0" xfId="21">
      <alignment horizontal="left"/>
    </xf>
    <xf numFmtId="165" fontId="4" fillId="26" borderId="0" applyAlignment="1" applyProtection="1" pivotButton="0" quotePrefix="0" xfId="21">
      <alignment horizontal="right"/>
      <protection locked="0" hidden="0"/>
    </xf>
    <xf numFmtId="0" fontId="21" fillId="0" borderId="0" pivotButton="0" quotePrefix="0" xfId="21"/>
    <xf numFmtId="0" fontId="4" fillId="0" borderId="0" pivotButton="0" quotePrefix="0" xfId="21"/>
    <xf numFmtId="0" fontId="19" fillId="0" borderId="0" applyAlignment="1" pivotButton="0" quotePrefix="0" xfId="21">
      <alignment horizontal="left" vertical="top" wrapText="1"/>
    </xf>
    <xf numFmtId="0" fontId="6" fillId="0" borderId="0" applyAlignment="1" pivotButton="0" quotePrefix="0" xfId="21">
      <alignment horizontal="left" vertical="top" wrapText="1"/>
    </xf>
    <xf numFmtId="0" fontId="22" fillId="27" borderId="0" applyAlignment="1" pivotButton="0" quotePrefix="0" xfId="21">
      <alignment horizontal="centerContinuous"/>
    </xf>
    <xf numFmtId="0" fontId="21" fillId="27" borderId="0" applyAlignment="1" pivotButton="0" quotePrefix="0" xfId="21">
      <alignment horizontal="centerContinuous"/>
    </xf>
    <xf numFmtId="0" fontId="21" fillId="27" borderId="0" pivotButton="0" quotePrefix="0" xfId="21"/>
    <xf numFmtId="0" fontId="4" fillId="27" borderId="0" applyAlignment="1" pivotButton="0" quotePrefix="0" xfId="21">
      <alignment horizontal="left"/>
    </xf>
    <xf numFmtId="0" fontId="4" fillId="27" borderId="0" pivotButton="0" quotePrefix="0" xfId="21"/>
    <xf numFmtId="0" fontId="19" fillId="0" borderId="0" applyAlignment="1" pivotButton="0" quotePrefix="0" xfId="21">
      <alignment horizontal="center" vertical="top" wrapText="1"/>
    </xf>
    <xf numFmtId="164" fontId="19" fillId="24" borderId="13" applyAlignment="1" pivotButton="0" quotePrefix="0" xfId="21">
      <alignment horizontal="center" vertical="center" wrapText="1"/>
    </xf>
    <xf numFmtId="0" fontId="6" fillId="24" borderId="1" applyAlignment="1" pivotButton="0" quotePrefix="0" xfId="21">
      <alignment horizontal="center" vertical="center" wrapText="1"/>
    </xf>
    <xf numFmtId="1" fontId="6" fillId="24" borderId="0" applyAlignment="1" pivotButton="0" quotePrefix="0" xfId="21">
      <alignment horizontal="centerContinuous"/>
    </xf>
    <xf numFmtId="166" fontId="9" fillId="24" borderId="0" applyAlignment="1" pivotButton="0" quotePrefix="0" xfId="21">
      <alignment horizontal="left" wrapText="1"/>
    </xf>
    <xf numFmtId="0" fontId="28" fillId="0" borderId="0" applyAlignment="1" pivotButton="0" quotePrefix="0" xfId="21">
      <alignment horizontal="center"/>
    </xf>
    <xf numFmtId="166" fontId="9" fillId="0" borderId="0" applyAlignment="1" pivotButton="0" quotePrefix="0" xfId="21">
      <alignment horizontal="left" wrapText="1"/>
    </xf>
    <xf numFmtId="0" fontId="28" fillId="24" borderId="0" applyAlignment="1" pivotButton="0" quotePrefix="0" xfId="21">
      <alignment horizontal="center"/>
    </xf>
    <xf numFmtId="0" fontId="4" fillId="24" borderId="0" applyAlignment="1" pivotButton="0" quotePrefix="0" xfId="21">
      <alignment horizontal="centerContinuous"/>
    </xf>
    <xf numFmtId="0" fontId="2" fillId="24" borderId="0" applyAlignment="1" pivotButton="0" quotePrefix="0" xfId="21">
      <alignment horizontal="left"/>
    </xf>
    <xf numFmtId="165" fontId="6" fillId="24" borderId="0" applyAlignment="1" pivotButton="0" quotePrefix="0" xfId="21">
      <alignment horizontal="right" wrapText="1"/>
    </xf>
    <xf numFmtId="166" fontId="6" fillId="24" borderId="0" applyAlignment="1" pivotButton="0" quotePrefix="0" xfId="21">
      <alignment horizontal="left"/>
    </xf>
    <xf numFmtId="0" fontId="9" fillId="24" borderId="0" applyAlignment="1" pivotButton="0" quotePrefix="0" xfId="21">
      <alignment wrapText="1"/>
    </xf>
    <xf numFmtId="0" fontId="28" fillId="24" borderId="0" pivotButton="0" quotePrefix="0" xfId="21"/>
    <xf numFmtId="166" fontId="9" fillId="24" borderId="0" applyAlignment="1" pivotButton="0" quotePrefix="0" xfId="21">
      <alignment wrapText="1"/>
    </xf>
    <xf numFmtId="166" fontId="9" fillId="0" borderId="0" applyAlignment="1" pivotButton="0" quotePrefix="0" xfId="21">
      <alignment wrapText="1"/>
    </xf>
    <xf numFmtId="165" fontId="6" fillId="24" borderId="0" applyAlignment="1" pivotButton="0" quotePrefix="0" xfId="21">
      <alignment horizontal="centerContinuous" wrapText="1"/>
    </xf>
    <xf numFmtId="0" fontId="0" fillId="0" borderId="0" applyAlignment="1" pivotButton="0" quotePrefix="0" xfId="0">
      <alignment horizontal="center" vertical="center"/>
    </xf>
    <xf numFmtId="0" fontId="0" fillId="0" borderId="1" applyAlignment="1" pivotButton="0" quotePrefix="0" xfId="0">
      <alignment vertical="center"/>
    </xf>
    <xf numFmtId="0" fontId="0" fillId="0" borderId="1" applyAlignment="1" pivotButton="0" quotePrefix="0" xfId="0">
      <alignment horizontal="center" vertical="center"/>
    </xf>
    <xf numFmtId="0" fontId="0" fillId="0" borderId="1" applyAlignment="1" pivotButton="0" quotePrefix="0" xfId="0">
      <alignment vertical="center"/>
    </xf>
    <xf numFmtId="0" fontId="0" fillId="0" borderId="1" applyAlignment="1" pivotButton="0" quotePrefix="0" xfId="0">
      <alignment horizontal="center" vertical="center"/>
    </xf>
    <xf numFmtId="0" fontId="0" fillId="28" borderId="0" applyAlignment="1" pivotButton="0" quotePrefix="0" xfId="0">
      <alignment horizontal="center" vertical="center"/>
    </xf>
    <xf numFmtId="0" fontId="0" fillId="0" borderId="0" applyAlignment="1" pivotButton="0" quotePrefix="0" xfId="0">
      <alignment vertical="center"/>
    </xf>
    <xf numFmtId="0" fontId="0" fillId="0" borderId="0" applyAlignment="1" pivotButton="0" quotePrefix="0" xfId="0">
      <alignment horizontal="center" vertical="center"/>
    </xf>
    <xf numFmtId="0" fontId="0" fillId="0" borderId="0" applyAlignment="1" pivotButton="0" quotePrefix="0" xfId="0">
      <alignment horizontal="center" vertical="center"/>
    </xf>
    <xf numFmtId="0" fontId="0" fillId="24" borderId="0" pivotButton="0" quotePrefix="0" xfId="0"/>
    <xf numFmtId="0" fontId="28" fillId="0" borderId="15" applyAlignment="1" pivotButton="0" quotePrefix="0" xfId="21">
      <alignment horizontal="center"/>
    </xf>
    <xf numFmtId="166" fontId="9" fillId="0" borderId="15" applyAlignment="1" pivotButton="0" quotePrefix="0" xfId="21">
      <alignment wrapText="1"/>
    </xf>
    <xf numFmtId="166" fontId="9" fillId="0" borderId="15" applyAlignment="1" pivotButton="0" quotePrefix="0" xfId="21">
      <alignment horizontal="left" wrapText="1"/>
    </xf>
    <xf numFmtId="167" fontId="1" fillId="0" borderId="0" applyAlignment="1" pivotButton="0" quotePrefix="0" xfId="22">
      <alignment horizontal="left" vertical="top" wrapText="1"/>
    </xf>
    <xf numFmtId="0" fontId="30" fillId="0" borderId="0" pivotButton="0" quotePrefix="0" xfId="21"/>
    <xf numFmtId="0" fontId="31" fillId="0" borderId="0" applyAlignment="1" pivotButton="0" quotePrefix="0" xfId="0">
      <alignment horizontal="center" vertical="center"/>
    </xf>
    <xf numFmtId="0" fontId="53" fillId="0" borderId="0" applyAlignment="1" pivotButton="0" quotePrefix="0" xfId="47">
      <alignment vertical="center" wrapText="1"/>
    </xf>
    <xf numFmtId="0" fontId="50" fillId="0" borderId="0" applyAlignment="1" pivotButton="0" quotePrefix="0" xfId="47">
      <alignment vertical="center"/>
    </xf>
    <xf numFmtId="0" fontId="50" fillId="0" borderId="0" applyAlignment="1" pivotButton="0" quotePrefix="0" xfId="47">
      <alignment vertical="center"/>
    </xf>
    <xf numFmtId="0" fontId="50" fillId="0" borderId="0" applyAlignment="1" pivotButton="0" quotePrefix="0" xfId="47">
      <alignment horizontal="left" vertical="center"/>
    </xf>
    <xf numFmtId="168" fontId="53" fillId="0" borderId="0" applyAlignment="1" pivotButton="0" quotePrefix="0" xfId="109">
      <alignment vertical="center" wrapText="1"/>
    </xf>
    <xf numFmtId="0" fontId="32" fillId="0" borderId="0" applyAlignment="1" pivotButton="0" quotePrefix="0" xfId="81">
      <alignment vertical="center"/>
    </xf>
    <xf numFmtId="0" fontId="32" fillId="0" borderId="0" applyAlignment="1" pivotButton="0" quotePrefix="0" xfId="81">
      <alignment vertical="center"/>
    </xf>
    <xf numFmtId="0" fontId="32" fillId="0" borderId="0" applyAlignment="1" pivotButton="0" quotePrefix="0" xfId="81">
      <alignment horizontal="center" vertical="center"/>
    </xf>
    <xf numFmtId="0" fontId="61" fillId="0" borderId="1" applyAlignment="1" pivotButton="0" quotePrefix="0" xfId="0">
      <alignment horizontal="center" vertical="center" wrapText="1"/>
    </xf>
    <xf numFmtId="0" fontId="64" fillId="0" borderId="1" applyAlignment="1" pivotButton="0" quotePrefix="0" xfId="0">
      <alignment horizontal="center" vertical="center" wrapText="1"/>
    </xf>
    <xf numFmtId="0" fontId="32" fillId="0" borderId="1" applyAlignment="1" pivotButton="0" quotePrefix="0" xfId="81">
      <alignment horizontal="center" vertical="center"/>
    </xf>
    <xf numFmtId="0" fontId="32" fillId="0" borderId="0" applyAlignment="1" pivotButton="0" quotePrefix="0" xfId="81">
      <alignment horizontal="center" vertical="center"/>
    </xf>
    <xf numFmtId="0" fontId="59" fillId="0" borderId="0" pivotButton="0" quotePrefix="0" xfId="81"/>
    <xf numFmtId="0" fontId="59" fillId="0" borderId="0" applyAlignment="1" pivotButton="0" quotePrefix="0" xfId="81">
      <alignment vertical="center"/>
    </xf>
    <xf numFmtId="0" fontId="32" fillId="0" borderId="1" applyAlignment="1" pivotButton="0" quotePrefix="0" xfId="81">
      <alignment horizontal="center" vertical="center" wrapText="1"/>
    </xf>
    <xf numFmtId="0" fontId="50" fillId="0" borderId="0" applyAlignment="1" pivotButton="0" quotePrefix="0" xfId="47">
      <alignment horizontal="center" vertical="center"/>
    </xf>
    <xf numFmtId="0" fontId="30" fillId="0" borderId="19" applyAlignment="1" pivotButton="0" quotePrefix="0" xfId="47">
      <alignment horizontal="center" vertical="center" wrapText="1"/>
    </xf>
    <xf numFmtId="0" fontId="29" fillId="0" borderId="19" applyAlignment="1" pivotButton="0" quotePrefix="0" xfId="0">
      <alignment horizontal="left" vertical="center" wrapText="1"/>
    </xf>
    <xf numFmtId="0" fontId="29" fillId="0" borderId="21" applyAlignment="1" pivotButton="0" quotePrefix="0" xfId="0">
      <alignment horizontal="left" vertical="center" wrapText="1"/>
    </xf>
    <xf numFmtId="0" fontId="29" fillId="0" borderId="1" applyAlignment="1" pivotButton="0" quotePrefix="0" xfId="0">
      <alignment horizontal="left" vertical="center" wrapText="1"/>
    </xf>
    <xf numFmtId="0" fontId="57" fillId="0" borderId="0" applyAlignment="1" pivotButton="0" quotePrefix="0" xfId="47">
      <alignment horizontal="right" vertical="top" wrapText="1"/>
    </xf>
    <xf numFmtId="0" fontId="58" fillId="0" borderId="0" applyAlignment="1" pivotButton="0" quotePrefix="0" xfId="47">
      <alignment horizontal="justify" vertical="top" wrapText="1"/>
    </xf>
    <xf numFmtId="0" fontId="32" fillId="0" borderId="0" applyAlignment="1" pivotButton="0" quotePrefix="0" xfId="81">
      <alignment vertical="center"/>
    </xf>
    <xf numFmtId="0" fontId="67" fillId="0" borderId="1" applyAlignment="1" pivotButton="0" quotePrefix="0" xfId="81">
      <alignment horizontal="center" vertical="center"/>
    </xf>
    <xf numFmtId="0" fontId="68" fillId="0" borderId="1" applyAlignment="1" pivotButton="0" quotePrefix="0" xfId="81">
      <alignment horizontal="center" vertical="center" wrapText="1"/>
    </xf>
    <xf numFmtId="168" fontId="54" fillId="0" borderId="0" applyAlignment="1" pivotButton="0" quotePrefix="0" xfId="109">
      <alignment vertical="center" wrapText="1"/>
    </xf>
    <xf numFmtId="168" fontId="70" fillId="0" borderId="0" applyAlignment="1" pivotButton="0" quotePrefix="0" xfId="109">
      <alignment vertical="center" wrapText="1"/>
    </xf>
    <xf numFmtId="168" fontId="72" fillId="0" borderId="0" applyAlignment="1" pivotButton="0" quotePrefix="0" xfId="109">
      <alignment vertical="center" wrapText="1"/>
    </xf>
    <xf numFmtId="168" fontId="71" fillId="0" borderId="0" applyAlignment="1" pivotButton="0" quotePrefix="0" xfId="109">
      <alignment vertical="center" wrapText="1"/>
    </xf>
    <xf numFmtId="14" fontId="69" fillId="0" borderId="1" applyAlignment="1" pivotButton="0" quotePrefix="0" xfId="81">
      <alignment horizontal="center" vertical="center" wrapText="1"/>
    </xf>
    <xf numFmtId="0" fontId="0" fillId="0" borderId="1" applyAlignment="1" pivotButton="0" quotePrefix="0" xfId="0">
      <alignment horizontal="center" vertical="center"/>
    </xf>
    <xf numFmtId="0" fontId="30" fillId="0" borderId="1" applyAlignment="1" pivotButton="0" quotePrefix="0" xfId="47">
      <alignment horizontal="center" vertical="center" wrapText="1"/>
    </xf>
    <xf numFmtId="0" fontId="30" fillId="0" borderId="19" applyAlignment="1" pivotButton="0" quotePrefix="0" xfId="47">
      <alignment horizontal="center" vertical="center" wrapText="1"/>
    </xf>
    <xf numFmtId="0" fontId="29" fillId="0" borderId="1" applyAlignment="1" pivotButton="0" quotePrefix="0" xfId="0">
      <alignment horizontal="left" vertical="center" wrapText="1"/>
    </xf>
    <xf numFmtId="0" fontId="29" fillId="0" borderId="1" applyAlignment="1" pivotButton="0" quotePrefix="0" xfId="0">
      <alignment horizontal="left" vertical="center" wrapText="1"/>
    </xf>
    <xf numFmtId="0" fontId="29" fillId="0" borderId="20" applyAlignment="1" pivotButton="0" quotePrefix="0" xfId="0">
      <alignment horizontal="center" vertical="center" wrapText="1"/>
    </xf>
    <xf numFmtId="0" fontId="73" fillId="0" borderId="1" applyAlignment="1" pivotButton="0" quotePrefix="0" xfId="0">
      <alignment horizontal="left" vertical="center" wrapText="1"/>
    </xf>
    <xf numFmtId="0" fontId="73" fillId="0" borderId="1" applyAlignment="1" pivotButton="0" quotePrefix="0" xfId="0">
      <alignment horizontal="center" vertical="center" wrapText="1"/>
    </xf>
    <xf numFmtId="0" fontId="9" fillId="0" borderId="1" applyAlignment="1" pivotButton="0" quotePrefix="0" xfId="0">
      <alignment horizontal="center" vertical="center" wrapText="1"/>
    </xf>
    <xf numFmtId="49" fontId="9" fillId="0" borderId="19" applyAlignment="1" pivotButton="0" quotePrefix="0" xfId="0">
      <alignment horizontal="center" vertical="center"/>
    </xf>
    <xf numFmtId="49" fontId="0" fillId="0" borderId="19" applyAlignment="1" pivotButton="0" quotePrefix="0" xfId="0">
      <alignment horizontal="center" vertical="center"/>
    </xf>
    <xf numFmtId="49" fontId="0" fillId="0" borderId="1" applyAlignment="1" pivotButton="0" quotePrefix="0" xfId="0">
      <alignment horizontal="center" vertical="center"/>
    </xf>
    <xf numFmtId="0" fontId="0" fillId="0" borderId="1" applyAlignment="1" pivotButton="0" quotePrefix="0" xfId="0">
      <alignment horizontal="center" vertical="center"/>
    </xf>
    <xf numFmtId="0" fontId="29" fillId="0" borderId="1" applyAlignment="1" pivotButton="0" quotePrefix="0" xfId="0">
      <alignment horizontal="left" vertical="center" wrapText="1"/>
    </xf>
    <xf numFmtId="0" fontId="9" fillId="0" borderId="1" applyAlignment="1" pivotButton="0" quotePrefix="0" xfId="0">
      <alignment horizontal="center" vertical="center" wrapText="1"/>
    </xf>
    <xf numFmtId="0" fontId="29" fillId="0" borderId="1" applyAlignment="1" pivotButton="0" quotePrefix="0" xfId="0">
      <alignment horizontal="left" vertical="center" wrapText="1"/>
    </xf>
    <xf numFmtId="0" fontId="29" fillId="0" borderId="1" applyAlignment="1" pivotButton="0" quotePrefix="0" xfId="0">
      <alignment horizontal="left" vertical="center" wrapText="1"/>
    </xf>
    <xf numFmtId="0" fontId="29" fillId="0" borderId="1" applyAlignment="1" pivotButton="0" quotePrefix="0" xfId="0">
      <alignment horizontal="center" vertical="center" wrapText="1"/>
    </xf>
    <xf numFmtId="0" fontId="74" fillId="0" borderId="1" applyAlignment="1" pivotButton="0" quotePrefix="0" xfId="0">
      <alignment horizontal="left" vertical="center" wrapText="1"/>
    </xf>
    <xf numFmtId="0" fontId="74" fillId="0" borderId="1" applyAlignment="1" pivotButton="0" quotePrefix="0" xfId="0">
      <alignment horizontal="left" vertical="center" wrapText="1"/>
    </xf>
    <xf numFmtId="0" fontId="75" fillId="0" borderId="1" applyAlignment="1" pivotButton="0" quotePrefix="0" xfId="0">
      <alignment horizontal="center" vertical="center" wrapText="1"/>
    </xf>
    <xf numFmtId="0" fontId="74" fillId="0" borderId="20" applyAlignment="1" pivotButton="0" quotePrefix="0" xfId="0">
      <alignment horizontal="left" vertical="center" wrapText="1"/>
    </xf>
    <xf numFmtId="0" fontId="75" fillId="0" borderId="1" applyAlignment="1" pivotButton="0" quotePrefix="0" xfId="0">
      <alignment horizontal="center" vertical="center" wrapText="1"/>
    </xf>
    <xf numFmtId="0" fontId="29" fillId="0" borderId="1" applyAlignment="1" pivotButton="0" quotePrefix="0" xfId="0">
      <alignment horizontal="center" vertical="center" wrapText="1"/>
    </xf>
    <xf numFmtId="0" fontId="30" fillId="0" borderId="1" applyAlignment="1" pivotButton="0" quotePrefix="0" xfId="47">
      <alignment horizontal="center" vertical="center" wrapText="1"/>
    </xf>
    <xf numFmtId="0" fontId="30" fillId="0" borderId="19" applyAlignment="1" pivotButton="0" quotePrefix="0" xfId="47">
      <alignment horizontal="center" vertical="center" wrapText="1"/>
    </xf>
    <xf numFmtId="0" fontId="9" fillId="0" borderId="1" applyAlignment="1" pivotButton="0" quotePrefix="0" xfId="0">
      <alignment horizontal="center" vertical="center" wrapText="1"/>
    </xf>
    <xf numFmtId="0" fontId="75" fillId="0" borderId="20" applyAlignment="1" pivotButton="0" quotePrefix="0" xfId="0">
      <alignment horizontal="center" vertical="center" wrapText="1"/>
    </xf>
    <xf numFmtId="0" fontId="29" fillId="0" borderId="1" applyAlignment="1" pivotButton="0" quotePrefix="0" xfId="0">
      <alignment horizontal="left" vertical="center" wrapText="1"/>
    </xf>
    <xf numFmtId="0" fontId="9" fillId="0" borderId="1" applyAlignment="1" pivotButton="0" quotePrefix="0" xfId="0">
      <alignment horizontal="center" vertical="center" wrapText="1"/>
    </xf>
    <xf numFmtId="0" fontId="73" fillId="0" borderId="1" applyAlignment="1" pivotButton="0" quotePrefix="0" xfId="47">
      <alignment horizontal="center" vertical="center" wrapText="1"/>
    </xf>
    <xf numFmtId="49" fontId="76" fillId="0" borderId="1" applyAlignment="1" pivotButton="0" quotePrefix="0" xfId="109">
      <alignment horizontal="center" vertical="center" wrapText="1"/>
    </xf>
    <xf numFmtId="0" fontId="21" fillId="0" borderId="1" applyAlignment="1" pivotButton="0" quotePrefix="0" xfId="47">
      <alignment horizontal="center" vertical="center" wrapText="1"/>
    </xf>
    <xf numFmtId="49" fontId="73" fillId="0" borderId="1" applyAlignment="1" pivotButton="0" quotePrefix="0" xfId="0">
      <alignment horizontal="center" vertical="center"/>
    </xf>
    <xf numFmtId="0" fontId="73" fillId="0" borderId="1" applyAlignment="1" pivotButton="0" quotePrefix="0" xfId="0">
      <alignment horizontal="left" vertical="center" wrapText="1"/>
    </xf>
    <xf numFmtId="49" fontId="21" fillId="0" borderId="1" applyAlignment="1" pivotButton="0" quotePrefix="0" xfId="0">
      <alignment horizontal="center" vertical="center"/>
    </xf>
    <xf numFmtId="0" fontId="84" fillId="0" borderId="1" applyAlignment="1" pivotButton="0" quotePrefix="0" xfId="0">
      <alignment horizontal="left" vertical="center" wrapText="1"/>
    </xf>
    <xf numFmtId="0" fontId="84" fillId="0" borderId="1" applyAlignment="1" pivotButton="0" quotePrefix="0" xfId="0">
      <alignment horizontal="left" vertical="center" wrapText="1"/>
    </xf>
    <xf numFmtId="0" fontId="84" fillId="0" borderId="1" applyAlignment="1" pivotButton="0" quotePrefix="0" xfId="0">
      <alignment horizontal="center" vertical="center" wrapText="1"/>
    </xf>
    <xf numFmtId="0" fontId="84" fillId="0" borderId="1" applyAlignment="1" pivotButton="0" quotePrefix="0" xfId="0">
      <alignment horizontal="center" vertical="center" wrapText="1"/>
    </xf>
    <xf numFmtId="0" fontId="73" fillId="0" borderId="1" applyAlignment="1" pivotButton="0" quotePrefix="0" xfId="0">
      <alignment horizontal="center" vertical="center" wrapText="1"/>
    </xf>
    <xf numFmtId="49" fontId="21" fillId="0" borderId="19" applyAlignment="1" pivotButton="0" quotePrefix="0" xfId="0">
      <alignment horizontal="center" vertical="center"/>
    </xf>
    <xf numFmtId="0" fontId="21" fillId="0" borderId="1" applyAlignment="1" pivotButton="0" quotePrefix="0" xfId="0">
      <alignment horizontal="center" vertical="center"/>
    </xf>
    <xf numFmtId="49" fontId="22" fillId="0" borderId="1" applyAlignment="1" pivotButton="0" quotePrefix="0" xfId="109">
      <alignment horizontal="center" vertical="center"/>
    </xf>
    <xf numFmtId="49" fontId="21" fillId="0" borderId="1" applyAlignment="1" pivotButton="0" quotePrefix="0" xfId="109">
      <alignment horizontal="center" vertical="center" wrapText="1"/>
    </xf>
    <xf numFmtId="0" fontId="9" fillId="0" borderId="19" applyAlignment="1" pivotButton="0" quotePrefix="0" xfId="0">
      <alignment horizontal="center" vertical="center" wrapText="1"/>
    </xf>
    <xf numFmtId="0" fontId="73" fillId="0" borderId="1" applyAlignment="1" pivotButton="0" quotePrefix="0" xfId="0">
      <alignment horizontal="center" vertical="center" wrapText="1"/>
    </xf>
    <xf numFmtId="0" fontId="88" fillId="0" borderId="1" applyAlignment="1" pivotButton="0" quotePrefix="0" xfId="81">
      <alignment horizontal="center" vertical="center" wrapText="1"/>
    </xf>
    <xf numFmtId="0" fontId="21" fillId="0" borderId="1" applyAlignment="1" pivotButton="0" quotePrefix="0" xfId="81">
      <alignment horizontal="center" vertical="center" wrapText="1"/>
    </xf>
    <xf numFmtId="0" fontId="67" fillId="0" borderId="1" applyAlignment="1" pivotButton="0" quotePrefix="0" xfId="81">
      <alignment horizontal="center" vertical="center" wrapText="1"/>
    </xf>
    <xf numFmtId="0" fontId="89" fillId="0" borderId="1" applyAlignment="1" pivotButton="0" quotePrefix="0" xfId="0">
      <alignment horizontal="center" vertical="center" wrapText="1"/>
    </xf>
    <xf numFmtId="0" fontId="90" fillId="0" borderId="1" applyAlignment="1" pivotButton="0" quotePrefix="0" xfId="0">
      <alignment horizontal="center" vertical="center" wrapText="1"/>
    </xf>
    <xf numFmtId="0" fontId="87" fillId="0" borderId="1" applyAlignment="1" pivotButton="0" quotePrefix="0" xfId="83">
      <alignment horizontal="center" vertical="center" wrapText="1"/>
    </xf>
    <xf numFmtId="0" fontId="80" fillId="0" borderId="1" applyAlignment="1" pivotButton="0" quotePrefix="0" xfId="83">
      <alignment horizontal="center" vertical="center" wrapText="1"/>
    </xf>
    <xf numFmtId="0" fontId="29" fillId="0" borderId="1" applyAlignment="1" pivotButton="0" quotePrefix="0" xfId="0">
      <alignment horizontal="center" vertical="center" wrapText="1"/>
    </xf>
    <xf numFmtId="0" fontId="9" fillId="0" borderId="1" applyAlignment="1" pivotButton="0" quotePrefix="0" xfId="0">
      <alignment horizontal="center" vertical="center" wrapText="1"/>
    </xf>
    <xf numFmtId="0" fontId="30" fillId="0" borderId="1" applyAlignment="1" pivotButton="0" quotePrefix="0" xfId="47">
      <alignment horizontal="center" vertical="center" wrapText="1"/>
    </xf>
    <xf numFmtId="0" fontId="30" fillId="0" borderId="19" applyAlignment="1" pivotButton="0" quotePrefix="0" xfId="47">
      <alignment horizontal="center" vertical="center" wrapText="1"/>
    </xf>
    <xf numFmtId="0" fontId="21" fillId="0" borderId="1" applyAlignment="1" pivotButton="0" quotePrefix="0" xfId="47">
      <alignment horizontal="center" vertical="center" wrapText="1"/>
    </xf>
    <xf numFmtId="0" fontId="80" fillId="0" borderId="1" applyAlignment="1" pivotButton="0" quotePrefix="0" xfId="83">
      <alignment horizontal="center" vertical="center" wrapText="1"/>
    </xf>
    <xf numFmtId="0" fontId="74" fillId="0" borderId="11" applyAlignment="1" pivotButton="0" quotePrefix="0" xfId="47">
      <alignment horizontal="left" vertical="center" wrapText="1"/>
    </xf>
    <xf numFmtId="0" fontId="84" fillId="0" borderId="1" applyAlignment="1" pivotButton="0" quotePrefix="0" xfId="47">
      <alignment horizontal="center" vertical="center" wrapText="1"/>
    </xf>
    <xf numFmtId="0" fontId="29" fillId="0" borderId="0" applyAlignment="1" pivotButton="0" quotePrefix="0" xfId="47">
      <alignment vertical="center"/>
    </xf>
    <xf numFmtId="0" fontId="74" fillId="0" borderId="1" applyAlignment="1" pivotButton="0" quotePrefix="0" xfId="47">
      <alignment horizontal="left" vertical="center" wrapText="1"/>
    </xf>
    <xf numFmtId="0" fontId="84" fillId="0" borderId="1" applyAlignment="1" pivotButton="0" quotePrefix="0" xfId="47">
      <alignment vertical="center" wrapText="1"/>
    </xf>
    <xf numFmtId="0" fontId="84" fillId="0" borderId="1" applyAlignment="1" pivotButton="0" quotePrefix="0" xfId="47">
      <alignment horizontal="left" vertical="center" wrapText="1"/>
    </xf>
    <xf numFmtId="0" fontId="84" fillId="0" borderId="1" applyAlignment="1" pivotButton="0" quotePrefix="0" xfId="47">
      <alignment horizontal="center" vertical="center" wrapText="1"/>
    </xf>
    <xf numFmtId="0" fontId="74" fillId="0" borderId="1" applyAlignment="1" pivotButton="0" quotePrefix="0" xfId="47">
      <alignment horizontal="center" vertical="center" wrapText="1"/>
    </xf>
    <xf numFmtId="0" fontId="74" fillId="0" borderId="1" applyAlignment="1" pivotButton="0" quotePrefix="0" xfId="47">
      <alignment horizontal="center" vertical="center" wrapText="1"/>
    </xf>
    <xf numFmtId="0" fontId="74" fillId="0" borderId="1" applyAlignment="1" pivotButton="0" quotePrefix="0" xfId="47">
      <alignment vertical="center" wrapText="1"/>
    </xf>
    <xf numFmtId="0" fontId="29" fillId="0" borderId="1" applyAlignment="1" pivotButton="0" quotePrefix="0" xfId="0">
      <alignment vertical="center" wrapText="1"/>
    </xf>
    <xf numFmtId="49" fontId="99" fillId="0" borderId="1" applyAlignment="1" pivotButton="0" quotePrefix="0" xfId="109">
      <alignment horizontal="center" vertical="center" wrapText="1"/>
    </xf>
    <xf numFmtId="168" fontId="66" fillId="0" borderId="0" applyAlignment="1" pivotButton="0" quotePrefix="0" xfId="109">
      <alignment vertical="center" wrapText="1"/>
    </xf>
    <xf numFmtId="168" fontId="101" fillId="0" borderId="0" applyAlignment="1" pivotButton="0" quotePrefix="0" xfId="109">
      <alignment vertical="center" wrapText="1"/>
    </xf>
    <xf numFmtId="0" fontId="102" fillId="0" borderId="0" applyAlignment="1" pivotButton="0" quotePrefix="0" xfId="47">
      <alignment vertical="center"/>
    </xf>
    <xf numFmtId="49" fontId="55" fillId="0" borderId="1" applyAlignment="1" pivotButton="0" quotePrefix="0" xfId="109">
      <alignment horizontal="center" vertical="center"/>
    </xf>
    <xf numFmtId="49" fontId="101" fillId="0" borderId="1" applyAlignment="1" pivotButton="0" quotePrefix="0" xfId="109">
      <alignment horizontal="center" vertical="center" wrapText="1"/>
    </xf>
    <xf numFmtId="0" fontId="96" fillId="0" borderId="11" applyAlignment="1" pivotButton="0" quotePrefix="0" xfId="47">
      <alignment horizontal="left" vertical="center" wrapText="1"/>
    </xf>
    <xf numFmtId="0" fontId="84" fillId="0" borderId="11" applyAlignment="1" pivotButton="0" quotePrefix="0" xfId="47">
      <alignment horizontal="left" vertical="center" wrapText="1"/>
    </xf>
    <xf numFmtId="0" fontId="103" fillId="0" borderId="1" applyAlignment="1" pivotButton="0" quotePrefix="0" xfId="0">
      <alignment vertical="center" wrapText="1"/>
    </xf>
    <xf numFmtId="0" fontId="73" fillId="0" borderId="1" applyAlignment="1" pivotButton="0" quotePrefix="0" xfId="0">
      <alignment vertical="center" wrapText="1"/>
    </xf>
    <xf numFmtId="0" fontId="9" fillId="0" borderId="1" applyAlignment="1" pivotButton="0" quotePrefix="0" xfId="0">
      <alignment vertical="center" wrapText="1"/>
    </xf>
    <xf numFmtId="0" fontId="84" fillId="0" borderId="1" applyAlignment="1" pivotButton="0" quotePrefix="0" xfId="0">
      <alignment vertical="center" wrapText="1"/>
    </xf>
    <xf numFmtId="0" fontId="52" fillId="0" borderId="1" applyAlignment="1" pivotButton="0" quotePrefix="0" xfId="0">
      <alignment vertical="center" wrapText="1"/>
    </xf>
    <xf numFmtId="0" fontId="32" fillId="0" borderId="0" applyAlignment="1" pivotButton="0" quotePrefix="0" xfId="81">
      <alignment vertical="center"/>
    </xf>
    <xf numFmtId="0" fontId="32" fillId="0" borderId="0" applyAlignment="1" pivotButton="0" quotePrefix="0" xfId="81">
      <alignment horizontal="left" vertical="center" wrapText="1"/>
    </xf>
    <xf numFmtId="0" fontId="32" fillId="0" borderId="0" applyAlignment="1" pivotButton="0" quotePrefix="0" xfId="81">
      <alignment horizontal="left" vertical="center"/>
    </xf>
    <xf numFmtId="0" fontId="32" fillId="0" borderId="0" applyAlignment="1" pivotButton="0" quotePrefix="0" xfId="81">
      <alignment horizontal="left" vertical="center"/>
    </xf>
    <xf numFmtId="0" fontId="50" fillId="0" borderId="0" applyAlignment="1" pivotButton="0" quotePrefix="0" xfId="47">
      <alignment horizontal="center" wrapText="1"/>
    </xf>
    <xf numFmtId="0" fontId="104" fillId="0" borderId="17" applyAlignment="1" pivotButton="0" quotePrefix="0" xfId="0">
      <alignment horizontal="center" vertical="center" wrapText="1"/>
    </xf>
    <xf numFmtId="0" fontId="94" fillId="0" borderId="15" applyAlignment="1" pivotButton="0" quotePrefix="0" xfId="0">
      <alignment horizontal="center" vertical="center" wrapText="1"/>
    </xf>
    <xf numFmtId="0" fontId="94" fillId="0" borderId="18" applyAlignment="1" pivotButton="0" quotePrefix="0" xfId="0">
      <alignment horizontal="center" vertical="center" wrapText="1"/>
    </xf>
    <xf numFmtId="0" fontId="94" fillId="0" borderId="0" applyAlignment="1" pivotButton="0" quotePrefix="0" xfId="0">
      <alignment horizontal="center" vertical="center" wrapText="1"/>
    </xf>
    <xf numFmtId="0" fontId="94" fillId="0" borderId="16" applyAlignment="1" pivotButton="0" quotePrefix="0" xfId="0">
      <alignment horizontal="center" vertical="center" wrapText="1"/>
    </xf>
    <xf numFmtId="0" fontId="94" fillId="0" borderId="14" applyAlignment="1" pivotButton="0" quotePrefix="0" xfId="0">
      <alignment horizontal="center" vertical="center" wrapText="1"/>
    </xf>
    <xf numFmtId="0" fontId="65" fillId="0" borderId="1" applyAlignment="1" pivotButton="0" quotePrefix="0" xfId="0">
      <alignment horizontal="center" vertical="center"/>
    </xf>
    <xf numFmtId="14" fontId="65" fillId="0" borderId="1" applyAlignment="1" pivotButton="0" quotePrefix="0" xfId="0">
      <alignment horizontal="center" vertical="center"/>
    </xf>
    <xf numFmtId="0" fontId="0" fillId="0" borderId="1" applyAlignment="1" pivotButton="0" quotePrefix="0" xfId="0">
      <alignment horizontal="center" vertical="center"/>
    </xf>
    <xf numFmtId="0" fontId="105" fillId="0" borderId="0" applyAlignment="1" pivotButton="0" quotePrefix="0" xfId="81">
      <alignment horizontal="center" vertical="center" wrapText="1"/>
    </xf>
    <xf numFmtId="0" fontId="32" fillId="0" borderId="0" applyAlignment="1" pivotButton="0" quotePrefix="0" xfId="81">
      <alignment horizontal="center" vertical="center"/>
    </xf>
    <xf numFmtId="0" fontId="32" fillId="0" borderId="1" applyAlignment="1" pivotButton="0" quotePrefix="0" xfId="81">
      <alignment horizontal="center" vertical="center"/>
    </xf>
    <xf numFmtId="0" fontId="93" fillId="0" borderId="1" applyAlignment="1" pivotButton="0" quotePrefix="0" xfId="81">
      <alignment horizontal="center" vertical="center" wrapText="1"/>
    </xf>
    <xf numFmtId="0" fontId="30" fillId="0" borderId="1" applyAlignment="1" pivotButton="0" quotePrefix="0" xfId="47">
      <alignment horizontal="center" vertical="center" wrapText="1"/>
    </xf>
    <xf numFmtId="0" fontId="30" fillId="0" borderId="19" applyAlignment="1" pivotButton="0" quotePrefix="0" xfId="47">
      <alignment horizontal="center" vertical="center" wrapText="1"/>
    </xf>
    <xf numFmtId="0" fontId="29" fillId="0" borderId="19" applyAlignment="1" pivotButton="0" quotePrefix="0" xfId="0">
      <alignment horizontal="center" vertical="center"/>
    </xf>
    <xf numFmtId="0" fontId="29" fillId="0" borderId="21" applyAlignment="1" pivotButton="0" quotePrefix="0" xfId="0">
      <alignment horizontal="center" vertical="center"/>
    </xf>
    <xf numFmtId="0" fontId="29" fillId="0" borderId="20" applyAlignment="1" pivotButton="0" quotePrefix="0" xfId="0">
      <alignment horizontal="center" vertical="center"/>
    </xf>
    <xf numFmtId="0" fontId="74" fillId="0" borderId="19" applyAlignment="1" pivotButton="0" quotePrefix="0" xfId="47">
      <alignment horizontal="center" vertical="center" wrapText="1"/>
    </xf>
    <xf numFmtId="0" fontId="74" fillId="0" borderId="21" applyAlignment="1" pivotButton="0" quotePrefix="0" xfId="47">
      <alignment horizontal="center" vertical="center" wrapText="1"/>
    </xf>
    <xf numFmtId="0" fontId="74" fillId="0" borderId="20" applyAlignment="1" pivotButton="0" quotePrefix="0" xfId="47">
      <alignment horizontal="center" vertical="center" wrapText="1"/>
    </xf>
    <xf numFmtId="0" fontId="92" fillId="0" borderId="17" applyAlignment="1" pivotButton="0" quotePrefix="0" xfId="0">
      <alignment horizontal="center" vertical="center" wrapText="1"/>
    </xf>
    <xf numFmtId="0" fontId="92" fillId="0" borderId="15" applyAlignment="1" pivotButton="0" quotePrefix="0" xfId="0">
      <alignment horizontal="center" vertical="center" wrapText="1"/>
    </xf>
    <xf numFmtId="0" fontId="92" fillId="0" borderId="22" applyAlignment="1" pivotButton="0" quotePrefix="0" xfId="0">
      <alignment horizontal="center" vertical="center" wrapText="1"/>
    </xf>
    <xf numFmtId="0" fontId="92" fillId="0" borderId="18" applyAlignment="1" pivotButton="0" quotePrefix="0" xfId="0">
      <alignment horizontal="center" vertical="center" wrapText="1"/>
    </xf>
    <xf numFmtId="0" fontId="92" fillId="0" borderId="0" applyAlignment="1" pivotButton="0" quotePrefix="0" xfId="0">
      <alignment horizontal="center" vertical="center" wrapText="1"/>
    </xf>
    <xf numFmtId="0" fontId="92" fillId="0" borderId="23" applyAlignment="1" pivotButton="0" quotePrefix="0" xfId="0">
      <alignment horizontal="center" vertical="center" wrapText="1"/>
    </xf>
    <xf numFmtId="0" fontId="92" fillId="0" borderId="16" applyAlignment="1" pivotButton="0" quotePrefix="0" xfId="0">
      <alignment horizontal="center" vertical="center" wrapText="1"/>
    </xf>
    <xf numFmtId="0" fontId="92" fillId="0" borderId="14" applyAlignment="1" pivotButton="0" quotePrefix="0" xfId="0">
      <alignment horizontal="center" vertical="center" wrapText="1"/>
    </xf>
    <xf numFmtId="0" fontId="92" fillId="0" borderId="24" applyAlignment="1" pivotButton="0" quotePrefix="0" xfId="0">
      <alignment horizontal="center" vertical="center" wrapText="1"/>
    </xf>
    <xf numFmtId="0" fontId="74" fillId="0" borderId="1" applyAlignment="1" pivotButton="0" quotePrefix="0" xfId="47">
      <alignment horizontal="center" vertical="center" wrapText="1"/>
    </xf>
    <xf numFmtId="0" fontId="74" fillId="0" borderId="1" applyAlignment="1" pivotButton="0" quotePrefix="0" xfId="47">
      <alignment vertical="center" wrapText="1"/>
    </xf>
    <xf numFmtId="0" fontId="74" fillId="0" borderId="1" applyAlignment="1" pivotButton="0" quotePrefix="0" xfId="47">
      <alignment horizontal="left" vertical="center" wrapText="1"/>
    </xf>
    <xf numFmtId="0" fontId="74" fillId="0" borderId="1" applyAlignment="1" pivotButton="0" quotePrefix="0" xfId="47">
      <alignment horizontal="left" vertical="center" wrapText="1"/>
    </xf>
    <xf numFmtId="0" fontId="97" fillId="0" borderId="1" applyAlignment="1" pivotButton="0" quotePrefix="0" xfId="47">
      <alignment horizontal="left" vertical="center" wrapText="1"/>
    </xf>
    <xf numFmtId="0" fontId="9" fillId="0" borderId="19" applyAlignment="1" pivotButton="0" quotePrefix="0" xfId="0">
      <alignment horizontal="center" vertical="center" wrapText="1"/>
    </xf>
    <xf numFmtId="0" fontId="9" fillId="0" borderId="20" applyAlignment="1" pivotButton="0" quotePrefix="0" xfId="0">
      <alignment horizontal="center" vertical="center" wrapText="1"/>
    </xf>
    <xf numFmtId="0" fontId="29" fillId="0" borderId="19" applyAlignment="1" pivotButton="0" quotePrefix="0" xfId="0">
      <alignment horizontal="left" vertical="center" wrapText="1"/>
    </xf>
    <xf numFmtId="0" fontId="29" fillId="0" borderId="20" applyAlignment="1" pivotButton="0" quotePrefix="0" xfId="0">
      <alignment horizontal="left" vertical="center" wrapText="1"/>
    </xf>
    <xf numFmtId="0" fontId="66" fillId="0" borderId="1" applyAlignment="1" pivotButton="0" quotePrefix="0" xfId="0">
      <alignment horizontal="center" vertical="center"/>
    </xf>
    <xf numFmtId="14" fontId="30" fillId="0" borderId="1" applyAlignment="1" pivotButton="0" quotePrefix="0" xfId="0">
      <alignment horizontal="center" vertical="center"/>
    </xf>
    <xf numFmtId="14" fontId="21" fillId="0" borderId="1" applyAlignment="1" pivotButton="0" quotePrefix="0" xfId="0">
      <alignment horizontal="center" vertical="center"/>
    </xf>
    <xf numFmtId="0" fontId="52" fillId="0" borderId="1" applyAlignment="1" pivotButton="0" quotePrefix="0" xfId="110">
      <alignment horizontal="left" vertical="center" wrapText="1"/>
    </xf>
    <xf numFmtId="0" fontId="52" fillId="0" borderId="13" applyAlignment="1" pivotButton="0" quotePrefix="0" xfId="110">
      <alignment horizontal="left" vertical="center" wrapText="1"/>
    </xf>
    <xf numFmtId="0" fontId="52" fillId="0" borderId="12" applyAlignment="1" pivotButton="0" quotePrefix="0" xfId="110">
      <alignment horizontal="left" vertical="center" wrapText="1"/>
    </xf>
    <xf numFmtId="0" fontId="52" fillId="0" borderId="11" applyAlignment="1" pivotButton="0" quotePrefix="0" xfId="110">
      <alignment horizontal="left" vertical="center" wrapText="1"/>
    </xf>
    <xf numFmtId="0" fontId="101" fillId="0" borderId="12" applyAlignment="1" pivotButton="0" quotePrefix="0" xfId="0">
      <alignment horizontal="left" vertical="center" wrapText="1"/>
    </xf>
    <xf numFmtId="0" fontId="101" fillId="0" borderId="11" applyAlignment="1" pivotButton="0" quotePrefix="0" xfId="0">
      <alignment horizontal="left" vertical="center" wrapText="1"/>
    </xf>
    <xf numFmtId="0" fontId="101" fillId="0" borderId="1" applyAlignment="1" pivotButton="0" quotePrefix="0" xfId="0">
      <alignment horizontal="left" vertical="center" wrapText="1"/>
    </xf>
    <xf numFmtId="0" fontId="30" fillId="0" borderId="13" applyAlignment="1" pivotButton="0" quotePrefix="0" xfId="47">
      <alignment horizontal="center" vertical="center" wrapText="1"/>
    </xf>
    <xf numFmtId="0" fontId="30" fillId="0" borderId="12" applyAlignment="1" pivotButton="0" quotePrefix="0" xfId="47">
      <alignment horizontal="center" vertical="center" wrapText="1"/>
    </xf>
    <xf numFmtId="0" fontId="30" fillId="0" borderId="11" applyAlignment="1" pivotButton="0" quotePrefix="0" xfId="47">
      <alignment horizontal="center" vertical="center" wrapText="1"/>
    </xf>
    <xf numFmtId="0" fontId="50" fillId="0" borderId="15" applyAlignment="1" pivotButton="0" quotePrefix="0" xfId="47">
      <alignment horizontal="left" vertical="center" wrapText="1"/>
    </xf>
    <xf numFmtId="0" fontId="50" fillId="0" borderId="0" applyAlignment="1" pivotButton="0" quotePrefix="0" xfId="47">
      <alignment horizontal="left" vertical="center" wrapText="1"/>
    </xf>
    <xf numFmtId="49" fontId="55" fillId="0" borderId="13" applyAlignment="1" pivotButton="0" quotePrefix="0" xfId="109">
      <alignment horizontal="left" vertical="center"/>
    </xf>
    <xf numFmtId="49" fontId="55" fillId="0" borderId="12" applyAlignment="1" pivotButton="0" quotePrefix="0" xfId="109">
      <alignment horizontal="left" vertical="center"/>
    </xf>
    <xf numFmtId="49" fontId="55" fillId="0" borderId="11" applyAlignment="1" pivotButton="0" quotePrefix="0" xfId="109">
      <alignment horizontal="left" vertical="center"/>
    </xf>
    <xf numFmtId="0" fontId="9" fillId="0" borderId="1" applyAlignment="1" pivotButton="0" quotePrefix="0" xfId="0">
      <alignment horizontal="left" vertical="center" wrapText="1"/>
    </xf>
    <xf numFmtId="0" fontId="0" fillId="0" borderId="19" applyAlignment="1" pivotButton="0" quotePrefix="0" xfId="0">
      <alignment horizontal="center" vertical="center"/>
    </xf>
    <xf numFmtId="0" fontId="0" fillId="0" borderId="21" applyAlignment="1" pivotButton="0" quotePrefix="0" xfId="0">
      <alignment horizontal="center" vertical="center"/>
    </xf>
    <xf numFmtId="0" fontId="0" fillId="0" borderId="20" applyAlignment="1" pivotButton="0" quotePrefix="0" xfId="0">
      <alignment horizontal="center" vertical="center"/>
    </xf>
    <xf numFmtId="0" fontId="29" fillId="0" borderId="19" applyAlignment="1" pivotButton="0" quotePrefix="0" xfId="0">
      <alignment horizontal="center" vertical="center" wrapText="1"/>
    </xf>
    <xf numFmtId="0" fontId="29" fillId="0" borderId="21" applyAlignment="1" pivotButton="0" quotePrefix="0" xfId="0">
      <alignment horizontal="center" vertical="center" wrapText="1"/>
    </xf>
    <xf numFmtId="0" fontId="29" fillId="0" borderId="20" applyAlignment="1" pivotButton="0" quotePrefix="0" xfId="0">
      <alignment horizontal="center" vertical="center" wrapText="1"/>
    </xf>
    <xf numFmtId="0" fontId="9" fillId="0" borderId="20" applyAlignment="1" pivotButton="0" quotePrefix="0" xfId="0">
      <alignment horizontal="left" vertical="center" wrapText="1"/>
    </xf>
    <xf numFmtId="49" fontId="0" fillId="0" borderId="19" applyAlignment="1" pivotButton="0" quotePrefix="0" xfId="0">
      <alignment horizontal="center" vertical="center"/>
    </xf>
    <xf numFmtId="49" fontId="0" fillId="0" borderId="21" applyAlignment="1" pivotButton="0" quotePrefix="0" xfId="0">
      <alignment horizontal="center" vertical="center"/>
    </xf>
    <xf numFmtId="49" fontId="0" fillId="0" borderId="20" applyAlignment="1" pivotButton="0" quotePrefix="0" xfId="0">
      <alignment horizontal="center" vertical="center"/>
    </xf>
    <xf numFmtId="0" fontId="29" fillId="0" borderId="1" applyAlignment="1" pivotButton="0" quotePrefix="0" xfId="0">
      <alignment horizontal="left" vertical="center" wrapText="1"/>
    </xf>
    <xf numFmtId="49" fontId="0" fillId="0" borderId="1" applyAlignment="1" pivotButton="0" quotePrefix="0" xfId="0">
      <alignment horizontal="center" vertical="center"/>
    </xf>
    <xf numFmtId="0" fontId="92" fillId="0" borderId="1" applyAlignment="1" pivotButton="0" quotePrefix="0" xfId="0">
      <alignment horizontal="center" vertical="center" wrapText="1"/>
    </xf>
    <xf numFmtId="0" fontId="92" fillId="0" borderId="1" applyAlignment="1" pivotButton="0" quotePrefix="0" xfId="0">
      <alignment horizontal="center" vertical="center"/>
    </xf>
    <xf numFmtId="0" fontId="74" fillId="0" borderId="19" applyAlignment="1" pivotButton="0" quotePrefix="0" xfId="0">
      <alignment horizontal="left" vertical="center" wrapText="1"/>
    </xf>
    <xf numFmtId="0" fontId="74" fillId="0" borderId="20" applyAlignment="1" pivotButton="0" quotePrefix="0" xfId="0">
      <alignment horizontal="left" vertical="center" wrapText="1"/>
    </xf>
    <xf numFmtId="0" fontId="75" fillId="0" borderId="19" applyAlignment="1" pivotButton="0" quotePrefix="0" xfId="0">
      <alignment horizontal="center" vertical="center" wrapText="1"/>
    </xf>
    <xf numFmtId="0" fontId="75" fillId="0" borderId="20" applyAlignment="1" pivotButton="0" quotePrefix="0" xfId="0">
      <alignment horizontal="center" vertical="center" wrapText="1"/>
    </xf>
    <xf numFmtId="0" fontId="84" fillId="0" borderId="1" applyAlignment="1" pivotButton="0" quotePrefix="0" xfId="47">
      <alignment horizontal="left" vertical="center" wrapText="1"/>
    </xf>
    <xf numFmtId="0" fontId="84" fillId="0" borderId="1" applyAlignment="1" pivotButton="0" quotePrefix="0" xfId="47">
      <alignment horizontal="left" vertical="center" wrapText="1"/>
    </xf>
    <xf numFmtId="0" fontId="84" fillId="0" borderId="1" applyAlignment="1" pivotButton="0" quotePrefix="0" xfId="47">
      <alignment horizontal="center" vertical="center" wrapText="1"/>
    </xf>
    <xf numFmtId="0" fontId="9" fillId="0" borderId="19" applyAlignment="1" pivotButton="0" quotePrefix="0" xfId="0">
      <alignment horizontal="center" vertical="center"/>
    </xf>
    <xf numFmtId="0" fontId="9" fillId="0" borderId="21" applyAlignment="1" pivotButton="0" quotePrefix="0" xfId="0">
      <alignment horizontal="center" vertical="center"/>
    </xf>
    <xf numFmtId="0" fontId="9" fillId="0" borderId="20" applyAlignment="1" pivotButton="0" quotePrefix="0" xfId="0">
      <alignment horizontal="center" vertical="center"/>
    </xf>
    <xf numFmtId="0" fontId="84" fillId="0" borderId="19" applyAlignment="1" pivotButton="0" quotePrefix="0" xfId="47">
      <alignment horizontal="center" vertical="center" wrapText="1"/>
    </xf>
    <xf numFmtId="0" fontId="84" fillId="0" borderId="21" applyAlignment="1" pivotButton="0" quotePrefix="0" xfId="47">
      <alignment horizontal="center" vertical="center" wrapText="1"/>
    </xf>
    <xf numFmtId="0" fontId="84" fillId="0" borderId="20" applyAlignment="1" pivotButton="0" quotePrefix="0" xfId="47">
      <alignment horizontal="center" vertical="center" wrapText="1"/>
    </xf>
    <xf numFmtId="0" fontId="21" fillId="0" borderId="1" applyAlignment="1" pivotButton="0" quotePrefix="0" xfId="0">
      <alignment horizontal="center" vertical="center"/>
    </xf>
    <xf numFmtId="0" fontId="82" fillId="0" borderId="1" applyAlignment="1" pivotButton="0" quotePrefix="0" xfId="0">
      <alignment horizontal="center" vertical="center" wrapText="1"/>
    </xf>
    <xf numFmtId="0" fontId="82" fillId="0" borderId="1" applyAlignment="1" pivotButton="0" quotePrefix="0" xfId="0">
      <alignment horizontal="center" vertical="center"/>
    </xf>
    <xf numFmtId="0" fontId="83" fillId="0" borderId="13" applyAlignment="1" pivotButton="0" quotePrefix="0" xfId="0">
      <alignment horizontal="center" vertical="center"/>
    </xf>
    <xf numFmtId="0" fontId="83" fillId="0" borderId="12" applyAlignment="1" pivotButton="0" quotePrefix="0" xfId="0">
      <alignment horizontal="center" vertical="center"/>
    </xf>
    <xf numFmtId="0" fontId="83" fillId="0" borderId="11" applyAlignment="1" pivotButton="0" quotePrefix="0" xfId="0">
      <alignment horizontal="center" vertical="center"/>
    </xf>
    <xf numFmtId="0" fontId="21" fillId="0" borderId="1" applyAlignment="1" pivotButton="0" quotePrefix="0" xfId="47">
      <alignment horizontal="center" vertical="center" wrapText="1"/>
    </xf>
    <xf numFmtId="0" fontId="73" fillId="0" borderId="1" applyAlignment="1" pivotButton="0" quotePrefix="0" xfId="110">
      <alignment horizontal="left" vertical="center" wrapText="1"/>
    </xf>
    <xf numFmtId="0" fontId="21" fillId="0" borderId="1" applyAlignment="1" pivotButton="0" quotePrefix="0" xfId="0">
      <alignment horizontal="left" vertical="center" wrapText="1"/>
    </xf>
    <xf numFmtId="0" fontId="73" fillId="0" borderId="13" applyAlignment="1" pivotButton="0" quotePrefix="0" xfId="110">
      <alignment horizontal="left" vertical="center" wrapText="1"/>
    </xf>
    <xf numFmtId="0" fontId="21" fillId="0" borderId="12" applyAlignment="1" pivotButton="0" quotePrefix="0" xfId="0">
      <alignment horizontal="left" vertical="center" wrapText="1"/>
    </xf>
    <xf numFmtId="0" fontId="21" fillId="0" borderId="11" applyAlignment="1" pivotButton="0" quotePrefix="0" xfId="0">
      <alignment horizontal="left" vertical="center" wrapText="1"/>
    </xf>
    <xf numFmtId="0" fontId="81" fillId="0" borderId="15" applyAlignment="1" pivotButton="0" quotePrefix="0" xfId="47">
      <alignment horizontal="left" vertical="center" wrapText="1"/>
    </xf>
    <xf numFmtId="0" fontId="79" fillId="0" borderId="15" applyAlignment="1" pivotButton="0" quotePrefix="0" xfId="47">
      <alignment horizontal="left" vertical="center" wrapText="1"/>
    </xf>
    <xf numFmtId="0" fontId="79" fillId="0" borderId="0" applyAlignment="1" pivotButton="0" quotePrefix="0" xfId="47">
      <alignment horizontal="left" vertical="center" wrapText="1"/>
    </xf>
    <xf numFmtId="0" fontId="73" fillId="0" borderId="12" applyAlignment="1" pivotButton="0" quotePrefix="0" xfId="110">
      <alignment horizontal="left" vertical="center" wrapText="1"/>
    </xf>
    <xf numFmtId="0" fontId="73" fillId="0" borderId="1" applyAlignment="1" pivotButton="0" quotePrefix="0" xfId="0">
      <alignment horizontal="center" vertical="center" wrapText="1"/>
    </xf>
    <xf numFmtId="49" fontId="22" fillId="0" borderId="13" applyAlignment="1" pivotButton="0" quotePrefix="0" xfId="109">
      <alignment horizontal="left" vertical="center"/>
    </xf>
    <xf numFmtId="49" fontId="22" fillId="0" borderId="12" applyAlignment="1" pivotButton="0" quotePrefix="0" xfId="109">
      <alignment horizontal="left" vertical="center"/>
    </xf>
    <xf numFmtId="49" fontId="22" fillId="0" borderId="11" applyAlignment="1" pivotButton="0" quotePrefix="0" xfId="109">
      <alignment horizontal="left" vertical="center"/>
    </xf>
    <xf numFmtId="0" fontId="73" fillId="0" borderId="11" applyAlignment="1" pivotButton="0" quotePrefix="0" xfId="110">
      <alignment horizontal="left" vertical="center" wrapText="1"/>
    </xf>
    <xf numFmtId="0" fontId="73" fillId="0" borderId="1" applyAlignment="1" pivotButton="0" quotePrefix="0" xfId="0">
      <alignment horizontal="left" vertical="center" wrapText="1"/>
    </xf>
    <xf numFmtId="14" fontId="21" fillId="0" borderId="13" applyAlignment="1" pivotButton="0" quotePrefix="0" xfId="0">
      <alignment horizontal="center" vertical="center"/>
    </xf>
    <xf numFmtId="14" fontId="21" fillId="0" borderId="12" applyAlignment="1" pivotButton="0" quotePrefix="0" xfId="0">
      <alignment horizontal="center" vertical="center"/>
    </xf>
    <xf numFmtId="14" fontId="21" fillId="0" borderId="11" applyAlignment="1" pivotButton="0" quotePrefix="0" xfId="0">
      <alignment horizontal="center" vertical="center"/>
    </xf>
    <xf numFmtId="0" fontId="73" fillId="0" borderId="19" applyAlignment="1" pivotButton="0" quotePrefix="0" xfId="0">
      <alignment horizontal="center" vertical="center" wrapText="1"/>
    </xf>
    <xf numFmtId="0" fontId="73" fillId="0" borderId="20" applyAlignment="1" pivotButton="0" quotePrefix="0" xfId="0">
      <alignment horizontal="center" vertical="center" wrapText="1"/>
    </xf>
    <xf numFmtId="0" fontId="73" fillId="0" borderId="19" applyAlignment="1" pivotButton="0" quotePrefix="0" xfId="0">
      <alignment horizontal="left" vertical="center" wrapText="1"/>
    </xf>
    <xf numFmtId="0" fontId="73" fillId="0" borderId="20" applyAlignment="1" pivotButton="0" quotePrefix="0" xfId="0">
      <alignment horizontal="left" vertical="center" wrapText="1"/>
    </xf>
    <xf numFmtId="0" fontId="21" fillId="0" borderId="19" applyAlignment="1" pivotButton="0" quotePrefix="0" xfId="0">
      <alignment horizontal="center" vertical="center"/>
    </xf>
    <xf numFmtId="0" fontId="21" fillId="0" borderId="20" applyAlignment="1" pivotButton="0" quotePrefix="0" xfId="0">
      <alignment horizontal="center" vertical="center"/>
    </xf>
    <xf numFmtId="49" fontId="21" fillId="0" borderId="1" applyAlignment="1" pivotButton="0" quotePrefix="0" xfId="0">
      <alignment horizontal="center" vertical="center"/>
    </xf>
    <xf numFmtId="0" fontId="84" fillId="0" borderId="1" applyAlignment="1" pivotButton="0" quotePrefix="0" xfId="47">
      <alignment vertical="center" wrapText="1"/>
    </xf>
    <xf numFmtId="49" fontId="21" fillId="0" borderId="19" applyAlignment="1" pivotButton="0" quotePrefix="0" xfId="0">
      <alignment horizontal="center" vertical="center"/>
    </xf>
    <xf numFmtId="49" fontId="21" fillId="0" borderId="21" applyAlignment="1" pivotButton="0" quotePrefix="0" xfId="0">
      <alignment horizontal="center" vertical="center"/>
    </xf>
    <xf numFmtId="49" fontId="21" fillId="0" borderId="20" applyAlignment="1" pivotButton="0" quotePrefix="0" xfId="0">
      <alignment horizontal="center" vertical="center"/>
    </xf>
    <xf numFmtId="0" fontId="73" fillId="0" borderId="21" applyAlignment="1" pivotButton="0" quotePrefix="0" xfId="0">
      <alignment horizontal="center" vertical="center" wrapText="1"/>
    </xf>
    <xf numFmtId="0" fontId="73" fillId="0" borderId="21" applyAlignment="1" pivotButton="0" quotePrefix="0" xfId="0">
      <alignment horizontal="left" vertical="center" wrapText="1"/>
    </xf>
    <xf numFmtId="0" fontId="83" fillId="0" borderId="1" applyAlignment="1" pivotButton="0" quotePrefix="0" xfId="0">
      <alignment horizontal="center" vertical="center"/>
    </xf>
    <xf numFmtId="0" fontId="84" fillId="0" borderId="1" applyAlignment="1" pivotButton="0" quotePrefix="0" xfId="0">
      <alignment horizontal="left" vertical="center" wrapText="1"/>
    </xf>
    <xf numFmtId="0" fontId="84" fillId="0" borderId="1" applyAlignment="1" pivotButton="0" quotePrefix="0" xfId="0">
      <alignment horizontal="center" vertical="center" wrapText="1"/>
    </xf>
    <xf numFmtId="0" fontId="32" fillId="0" borderId="13" applyAlignment="1" pivotButton="0" quotePrefix="0" xfId="81">
      <alignment horizontal="center" vertical="center"/>
    </xf>
    <xf numFmtId="0" fontId="32" fillId="0" borderId="11" applyAlignment="1" pivotButton="0" quotePrefix="0" xfId="81">
      <alignment horizontal="center" vertical="center"/>
    </xf>
    <xf numFmtId="0" fontId="32" fillId="0" borderId="13" applyAlignment="1" pivotButton="0" quotePrefix="0" xfId="81">
      <alignment horizontal="center" vertical="center" wrapText="1"/>
    </xf>
    <xf numFmtId="0" fontId="32" fillId="0" borderId="12" applyAlignment="1" pivotButton="0" quotePrefix="0" xfId="81">
      <alignment horizontal="center" vertical="center"/>
    </xf>
    <xf numFmtId="14" fontId="32" fillId="0" borderId="13" applyAlignment="1" pivotButton="0" quotePrefix="0" xfId="81">
      <alignment horizontal="center" vertical="center"/>
    </xf>
    <xf numFmtId="14" fontId="32" fillId="0" borderId="11" applyAlignment="1" pivotButton="0" quotePrefix="0" xfId="81">
      <alignment horizontal="center" vertical="center"/>
    </xf>
    <xf numFmtId="0" fontId="59" fillId="0" borderId="1" applyAlignment="1" pivotButton="0" quotePrefix="0" xfId="83">
      <alignment horizontal="left" vertical="center" wrapText="1"/>
    </xf>
    <xf numFmtId="0" fontId="91" fillId="0" borderId="17" applyAlignment="1" pivotButton="0" quotePrefix="0" xfId="0">
      <alignment horizontal="center" vertical="center" wrapText="1"/>
    </xf>
    <xf numFmtId="0" fontId="91" fillId="0" borderId="15" applyAlignment="1" pivotButton="0" quotePrefix="0" xfId="0">
      <alignment horizontal="center" vertical="center" wrapText="1"/>
    </xf>
    <xf numFmtId="0" fontId="91" fillId="0" borderId="18" applyAlignment="1" pivotButton="0" quotePrefix="0" xfId="0">
      <alignment horizontal="center" vertical="center" wrapText="1"/>
    </xf>
    <xf numFmtId="0" fontId="91" fillId="0" borderId="0" applyAlignment="1" pivotButton="0" quotePrefix="0" xfId="0">
      <alignment horizontal="center" vertical="center" wrapText="1"/>
    </xf>
    <xf numFmtId="0" fontId="91" fillId="0" borderId="16" applyAlignment="1" pivotButton="0" quotePrefix="0" xfId="0">
      <alignment horizontal="center" vertical="center" wrapText="1"/>
    </xf>
    <xf numFmtId="0" fontId="91" fillId="0" borderId="14" applyAlignment="1" pivotButton="0" quotePrefix="0" xfId="0">
      <alignment horizontal="center" vertical="center" wrapText="1"/>
    </xf>
    <xf numFmtId="0" fontId="64" fillId="0" borderId="13" applyAlignment="1" pivotButton="0" quotePrefix="0" xfId="0">
      <alignment horizontal="center" vertical="center"/>
    </xf>
    <xf numFmtId="0" fontId="64" fillId="0" borderId="11" applyAlignment="1" pivotButton="0" quotePrefix="0" xfId="0">
      <alignment horizontal="center" vertical="center"/>
    </xf>
    <xf numFmtId="0" fontId="64" fillId="0" borderId="1" applyAlignment="1" pivotButton="0" quotePrefix="0" xfId="0">
      <alignment horizontal="center" vertical="center"/>
    </xf>
    <xf numFmtId="0" fontId="60" fillId="0" borderId="1" applyAlignment="1" pivotButton="0" quotePrefix="0" xfId="81">
      <alignment horizontal="center" vertical="center"/>
    </xf>
    <xf numFmtId="0" fontId="87" fillId="0" borderId="1" applyAlignment="1" pivotButton="0" quotePrefix="0" xfId="83">
      <alignment horizontal="center" vertical="center" wrapText="1"/>
    </xf>
    <xf numFmtId="0" fontId="59" fillId="0" borderId="1" applyAlignment="1" pivotButton="0" quotePrefix="0" xfId="83">
      <alignment horizontal="center" vertical="center" wrapText="1"/>
    </xf>
    <xf numFmtId="0" fontId="87" fillId="0" borderId="13" applyAlignment="1" pivotButton="0" quotePrefix="0" xfId="83">
      <alignment horizontal="center" vertical="center" wrapText="1"/>
    </xf>
    <xf numFmtId="0" fontId="87" fillId="0" borderId="11" applyAlignment="1" pivotButton="0" quotePrefix="0" xfId="83">
      <alignment horizontal="center" vertical="center" wrapText="1"/>
    </xf>
    <xf numFmtId="0" fontId="80" fillId="0" borderId="13" applyAlignment="1" pivotButton="0" quotePrefix="0" xfId="83">
      <alignment horizontal="center" vertical="center" wrapText="1"/>
    </xf>
    <xf numFmtId="0" fontId="80" fillId="0" borderId="11" applyAlignment="1" pivotButton="0" quotePrefix="0" xfId="83">
      <alignment horizontal="center" vertical="center" wrapText="1"/>
    </xf>
    <xf numFmtId="0" fontId="87" fillId="0" borderId="1" applyAlignment="1" pivotButton="0" quotePrefix="0" xfId="83">
      <alignment horizontal="center" vertical="center" wrapText="1"/>
    </xf>
    <xf numFmtId="14" fontId="80" fillId="0" borderId="13" applyAlignment="1" pivotButton="0" quotePrefix="0" xfId="83">
      <alignment horizontal="center" vertical="center" wrapText="1"/>
    </xf>
    <xf numFmtId="14" fontId="80" fillId="0" borderId="11" applyAlignment="1" pivotButton="0" quotePrefix="0" xfId="83">
      <alignment horizontal="center" vertical="center" wrapText="1"/>
    </xf>
    <xf numFmtId="14" fontId="59" fillId="0" borderId="13" applyAlignment="1" pivotButton="0" quotePrefix="0" xfId="83">
      <alignment horizontal="center" vertical="center" wrapText="1"/>
    </xf>
    <xf numFmtId="14" fontId="59" fillId="0" borderId="11" applyAlignment="1" pivotButton="0" quotePrefix="0" xfId="83">
      <alignment horizontal="center" vertical="center" wrapText="1"/>
    </xf>
    <xf numFmtId="0" fontId="80" fillId="0" borderId="1" applyAlignment="1" pivotButton="0" quotePrefix="0" xfId="83">
      <alignment horizontal="left" vertical="center" wrapText="1"/>
    </xf>
    <xf numFmtId="0" fontId="4" fillId="27" borderId="0" applyAlignment="1" pivotButton="0" quotePrefix="0" xfId="21">
      <alignment horizontal="center" vertical="top" wrapText="1"/>
    </xf>
    <xf numFmtId="0" fontId="27" fillId="0" borderId="0" applyAlignment="1" pivotButton="0" quotePrefix="0" xfId="21">
      <alignment horizontal="left" vertical="top" shrinkToFit="1"/>
    </xf>
    <xf numFmtId="0" fontId="4" fillId="27" borderId="0" applyAlignment="1" pivotButton="0" quotePrefix="0" xfId="21">
      <alignment horizontal="center" vertical="top"/>
    </xf>
    <xf numFmtId="167" fontId="1" fillId="0" borderId="0" applyAlignment="1" pivotButton="0" quotePrefix="0" xfId="22">
      <alignment horizontal="left" vertical="top" wrapText="1"/>
    </xf>
    <xf numFmtId="165" fontId="6" fillId="24" borderId="0" applyAlignment="1" pivotButton="0" quotePrefix="0" xfId="21">
      <alignment horizontal="centerContinuous" wrapText="1"/>
    </xf>
    <xf numFmtId="164" fontId="18" fillId="24" borderId="0" pivotButton="0" quotePrefix="0" xfId="21"/>
    <xf numFmtId="164" fontId="18" fillId="24" borderId="0" applyAlignment="1" pivotButton="0" quotePrefix="0" xfId="21">
      <alignment wrapText="1"/>
    </xf>
    <xf numFmtId="164" fontId="19" fillId="24" borderId="13" applyAlignment="1" pivotButton="0" quotePrefix="0" xfId="21">
      <alignment horizontal="center" vertical="center" wrapText="1"/>
    </xf>
    <xf numFmtId="166" fontId="9" fillId="0" borderId="15" applyAlignment="1" pivotButton="0" quotePrefix="0" xfId="21">
      <alignment horizontal="left" wrapText="1"/>
    </xf>
    <xf numFmtId="166" fontId="9" fillId="24" borderId="0" applyAlignment="1" pivotButton="0" quotePrefix="0" xfId="21">
      <alignment horizontal="left" wrapText="1"/>
    </xf>
    <xf numFmtId="166" fontId="9" fillId="0" borderId="0" applyAlignment="1" pivotButton="0" quotePrefix="0" xfId="21">
      <alignment horizontal="left" wrapText="1"/>
    </xf>
    <xf numFmtId="164" fontId="18" fillId="24" borderId="0" applyAlignment="1" pivotButton="0" quotePrefix="0" xfId="21">
      <alignment horizontal="center" wrapText="1"/>
    </xf>
    <xf numFmtId="165" fontId="6" fillId="24" borderId="0" applyAlignment="1" pivotButton="0" quotePrefix="0" xfId="21">
      <alignment horizontal="right" wrapText="1"/>
    </xf>
    <xf numFmtId="166" fontId="6" fillId="24" borderId="0" applyAlignment="1" pivotButton="0" quotePrefix="0" xfId="21">
      <alignment horizontal="left"/>
    </xf>
    <xf numFmtId="166" fontId="9" fillId="0" borderId="15" applyAlignment="1" pivotButton="0" quotePrefix="0" xfId="21">
      <alignment wrapText="1"/>
    </xf>
    <xf numFmtId="166" fontId="9" fillId="24" borderId="0" applyAlignment="1" pivotButton="0" quotePrefix="0" xfId="21">
      <alignment wrapText="1"/>
    </xf>
    <xf numFmtId="166" fontId="9" fillId="0" borderId="0" applyAlignment="1" pivotButton="0" quotePrefix="0" xfId="21">
      <alignment wrapText="1"/>
    </xf>
    <xf numFmtId="0" fontId="0" fillId="0" borderId="15" pivotButton="0" quotePrefix="0" xfId="0"/>
    <xf numFmtId="0" fontId="0" fillId="0" borderId="22" pivotButton="0" quotePrefix="0" xfId="0"/>
    <xf numFmtId="0" fontId="104" fillId="0" borderId="13" applyAlignment="1" pivotButton="0" quotePrefix="0" xfId="0">
      <alignment horizontal="center" vertical="center" wrapText="1"/>
    </xf>
    <xf numFmtId="0" fontId="0" fillId="0" borderId="11" pivotButton="0" quotePrefix="0" xfId="0"/>
    <xf numFmtId="0" fontId="0" fillId="0" borderId="18" pivotButton="0" quotePrefix="0" xfId="0"/>
    <xf numFmtId="0" fontId="0" fillId="0" borderId="23" pivotButton="0" quotePrefix="0" xfId="0"/>
    <xf numFmtId="0" fontId="0" fillId="0" borderId="16" pivotButton="0" quotePrefix="0" xfId="0"/>
    <xf numFmtId="0" fontId="0" fillId="0" borderId="14" pivotButton="0" quotePrefix="0" xfId="0"/>
    <xf numFmtId="0" fontId="0" fillId="0" borderId="24" pivotButton="0" quotePrefix="0" xfId="0"/>
    <xf numFmtId="0" fontId="0" fillId="0" borderId="12" pivotButton="0" quotePrefix="0" xfId="0"/>
    <xf numFmtId="0" fontId="0" fillId="0" borderId="20" pivotButton="0" quotePrefix="0" xfId="0"/>
    <xf numFmtId="168" fontId="53" fillId="0" borderId="0" applyAlignment="1" pivotButton="0" quotePrefix="0" xfId="109">
      <alignment vertical="center" wrapText="1"/>
    </xf>
    <xf numFmtId="0" fontId="0" fillId="0" borderId="21" pivotButton="0" quotePrefix="0" xfId="0"/>
    <xf numFmtId="168" fontId="54" fillId="0" borderId="0" applyAlignment="1" pivotButton="0" quotePrefix="0" xfId="109">
      <alignment vertical="center" wrapText="1"/>
    </xf>
    <xf numFmtId="0" fontId="29" fillId="0" borderId="1" applyAlignment="1" pivotButton="0" quotePrefix="0" xfId="0">
      <alignment horizontal="center" vertical="center"/>
    </xf>
    <xf numFmtId="168" fontId="70" fillId="0" borderId="0" applyAlignment="1" pivotButton="0" quotePrefix="0" xfId="109">
      <alignment vertical="center" wrapText="1"/>
    </xf>
    <xf numFmtId="49" fontId="55" fillId="0" borderId="1" applyAlignment="1" pivotButton="0" quotePrefix="0" xfId="109">
      <alignment horizontal="left" vertical="center"/>
    </xf>
    <xf numFmtId="168" fontId="66" fillId="0" borderId="0" applyAlignment="1" pivotButton="0" quotePrefix="0" xfId="109">
      <alignment vertical="center" wrapText="1"/>
    </xf>
    <xf numFmtId="168" fontId="101" fillId="0" borderId="0" applyAlignment="1" pivotButton="0" quotePrefix="0" xfId="109">
      <alignment vertical="center" wrapText="1"/>
    </xf>
    <xf numFmtId="0" fontId="9" fillId="0" borderId="1" applyAlignment="1" pivotButton="0" quotePrefix="0" xfId="0">
      <alignment horizontal="center" vertical="center"/>
    </xf>
    <xf numFmtId="49" fontId="22" fillId="0" borderId="1" applyAlignment="1" pivotButton="0" quotePrefix="0" xfId="109">
      <alignment horizontal="left" vertical="center"/>
    </xf>
    <xf numFmtId="168" fontId="72" fillId="0" borderId="0" applyAlignment="1" pivotButton="0" quotePrefix="0" xfId="109">
      <alignment vertical="center" wrapText="1"/>
    </xf>
    <xf numFmtId="168" fontId="71" fillId="0" borderId="0" applyAlignment="1" pivotButton="0" quotePrefix="0" xfId="109">
      <alignment vertical="center" wrapText="1"/>
    </xf>
    <xf numFmtId="0" fontId="91" fillId="0" borderId="13" applyAlignment="1" pivotButton="0" quotePrefix="0" xfId="0">
      <alignment horizontal="center" vertical="center" wrapText="1"/>
    </xf>
    <xf numFmtId="14" fontId="80" fillId="0" borderId="1" applyAlignment="1" pivotButton="0" quotePrefix="0" xfId="83">
      <alignment horizontal="center" vertical="center" wrapText="1"/>
    </xf>
    <xf numFmtId="14" fontId="59" fillId="0" borderId="1" applyAlignment="1" pivotButton="0" quotePrefix="0" xfId="83">
      <alignment horizontal="center" vertical="center" wrapText="1"/>
    </xf>
    <xf numFmtId="14" fontId="32" fillId="0" borderId="1" applyAlignment="1" pivotButton="0" quotePrefix="0" xfId="81">
      <alignment horizontal="center" vertical="center"/>
    </xf>
    <xf numFmtId="165" fontId="4" fillId="26" borderId="0" applyAlignment="1" applyProtection="1" pivotButton="0" quotePrefix="0" xfId="21">
      <alignment horizontal="right"/>
      <protection locked="0" hidden="0"/>
    </xf>
  </cellXfs>
  <cellStyles count="112">
    <cellStyle name="常规" xfId="0" builtinId="0"/>
    <cellStyle name="20% - 着色 1" xfId="1" builtinId="30"/>
    <cellStyle name="20% - 着色 2" xfId="2" builtinId="34"/>
    <cellStyle name="20% - 着色 3" xfId="3" builtinId="38"/>
    <cellStyle name="20% - 着色 4" xfId="4" builtinId="42"/>
    <cellStyle name="20% - 着色 5" xfId="5" builtinId="46"/>
    <cellStyle name="20% - 着色 6" xfId="6" builtinId="50"/>
    <cellStyle name="40% - 着色 1" xfId="7" builtinId="31"/>
    <cellStyle name="40% - 着色 2" xfId="8" builtinId="35"/>
    <cellStyle name="40% - 着色 3" xfId="9" builtinId="39"/>
    <cellStyle name="40% - 着色 4" xfId="10" builtinId="43"/>
    <cellStyle name="40% - 着色 5" xfId="11" builtinId="47"/>
    <cellStyle name="40% - 着色 6" xfId="12" builtinId="51"/>
    <cellStyle name="60% - 着色 1" xfId="13" builtinId="32"/>
    <cellStyle name="60% - 着色 2" xfId="14" builtinId="36"/>
    <cellStyle name="60% - 着色 3" xfId="15" builtinId="40"/>
    <cellStyle name="60% - 着色 4" xfId="16" builtinId="44"/>
    <cellStyle name="60% - 着色 5" xfId="17" builtinId="48"/>
    <cellStyle name="60% - 着色 6" xfId="18" builtinId="52"/>
    <cellStyle name="Normal 10pt" xfId="19"/>
    <cellStyle name="Normal_DFMEA ranking scale_1" xfId="20"/>
    <cellStyle name="Normal_DFMEA-DRBFM-Workbook-2.32b" xfId="21"/>
    <cellStyle name="Normal_DRBTR template V2.31_16Nov04" xfId="22"/>
    <cellStyle name="Star" xfId="23"/>
    <cellStyle name="标题" xfId="24" builtinId="15"/>
    <cellStyle name="标题 1" xfId="25" builtinId="16"/>
    <cellStyle name="标题 2" xfId="26" builtinId="17"/>
    <cellStyle name="标题 3" xfId="27" builtinId="18"/>
    <cellStyle name="标题 4" xfId="28" builtinId="19"/>
    <cellStyle name="差" xfId="29" builtinId="27"/>
    <cellStyle name="好" xfId="30" builtinId="26"/>
    <cellStyle name="汇总" xfId="31" builtinId="25"/>
    <cellStyle name="计算" xfId="32" builtinId="22"/>
    <cellStyle name="检查单元格" xfId="33" builtinId="23"/>
    <cellStyle name="解释性文本" xfId="34" builtinId="53"/>
    <cellStyle name="警告文本" xfId="35" builtinId="11"/>
    <cellStyle name="链接单元格" xfId="36" builtinId="24"/>
    <cellStyle name="着色 1" xfId="37" builtinId="29"/>
    <cellStyle name="着色 2" xfId="38" builtinId="33"/>
    <cellStyle name="着色 3" xfId="39" builtinId="37"/>
    <cellStyle name="着色 4" xfId="40" builtinId="41"/>
    <cellStyle name="着色 5" xfId="41" builtinId="45"/>
    <cellStyle name="着色 6" xfId="42" builtinId="49"/>
    <cellStyle name="适中" xfId="43" builtinId="28"/>
    <cellStyle name="输出" xfId="44" builtinId="21"/>
    <cellStyle name="输入" xfId="45" builtinId="20"/>
    <cellStyle name="注释" xfId="46" builtinId="10"/>
    <cellStyle name="常规 2" xfId="47"/>
    <cellStyle name="常规 3" xfId="48"/>
    <cellStyle name="20% - 强调文字颜色 1 2" xfId="49"/>
    <cellStyle name="20% - 强调文字颜色 2 2" xfId="50"/>
    <cellStyle name="20% - 强调文字颜色 3 2" xfId="51"/>
    <cellStyle name="20% - 强调文字颜色 4 2" xfId="52"/>
    <cellStyle name="20% - 强调文字颜色 5 2" xfId="53"/>
    <cellStyle name="20% - 强调文字颜色 6 2" xfId="54"/>
    <cellStyle name="40% - 强调文字颜色 1 2" xfId="55"/>
    <cellStyle name="40% - 强调文字颜色 2 2" xfId="56"/>
    <cellStyle name="40% - 强调文字颜色 3 2" xfId="57"/>
    <cellStyle name="40% - 强调文字颜色 4 2" xfId="58"/>
    <cellStyle name="40% - 强调文字颜色 5 2" xfId="59"/>
    <cellStyle name="40% - 强调文字颜色 6 2" xfId="60"/>
    <cellStyle name="60% - 强调文字颜色 1 2" xfId="61"/>
    <cellStyle name="60% - 强调文字颜色 2 2" xfId="62"/>
    <cellStyle name="60% - 强调文字颜色 3 2" xfId="63"/>
    <cellStyle name="60% - 强调文字颜色 4 2" xfId="64"/>
    <cellStyle name="60% - 强调文字颜色 5 2" xfId="65"/>
    <cellStyle name="60% - 强调文字颜色 6 2" xfId="66"/>
    <cellStyle name="标题 1 2" xfId="67"/>
    <cellStyle name="标题 2 2" xfId="68"/>
    <cellStyle name="标题 3 2" xfId="69"/>
    <cellStyle name="标题 4 2" xfId="70"/>
    <cellStyle name="标题 5" xfId="71"/>
    <cellStyle name="差 2" xfId="72"/>
    <cellStyle name="差_new可重复开闭夹子工艺" xfId="73"/>
    <cellStyle name="差_new可重复开闭夹子工艺 2" xfId="74"/>
    <cellStyle name="差_new可重复开闭夹子工艺1" xfId="75"/>
    <cellStyle name="差_new可重复开闭夹子工艺1 2" xfId="76"/>
    <cellStyle name="差_可重复开闭止血夹工艺规程10.16" xfId="77"/>
    <cellStyle name="差_可重复开闭止血夹工艺规程10.16 2" xfId="78"/>
    <cellStyle name="常规 2 2" xfId="79"/>
    <cellStyle name="常规 2 2 2" xfId="80"/>
    <cellStyle name="常规 3 2" xfId="81"/>
    <cellStyle name="常规 3 2 2" xfId="82"/>
    <cellStyle name="常规 4" xfId="83"/>
    <cellStyle name="好 2" xfId="84"/>
    <cellStyle name="好_new可重复开闭夹子工艺" xfId="85"/>
    <cellStyle name="好_new可重复开闭夹子工艺 2" xfId="86"/>
    <cellStyle name="好_new可重复开闭夹子工艺1" xfId="87"/>
    <cellStyle name="好_new可重复开闭夹子工艺1 2" xfId="88"/>
    <cellStyle name="好_可重复开闭止血夹工艺规程10.16" xfId="89"/>
    <cellStyle name="好_可重复开闭止血夹工艺规程10.16 2" xfId="90"/>
    <cellStyle name="汇总 2" xfId="91"/>
    <cellStyle name="计算 2" xfId="92"/>
    <cellStyle name="检查单元格 2" xfId="93"/>
    <cellStyle name="解释性文本 2" xfId="94"/>
    <cellStyle name="警告文本 2" xfId="95"/>
    <cellStyle name="链接单元格 2" xfId="96"/>
    <cellStyle name="强调文字颜色 1 2" xfId="97"/>
    <cellStyle name="强调文字颜色 2 2" xfId="98"/>
    <cellStyle name="强调文字颜色 3 2" xfId="99"/>
    <cellStyle name="强调文字颜色 4 2" xfId="100"/>
    <cellStyle name="强调文字颜色 5 2" xfId="101"/>
    <cellStyle name="强调文字颜色 6 2" xfId="102"/>
    <cellStyle name="适中 2" xfId="103"/>
    <cellStyle name="输出 2" xfId="104"/>
    <cellStyle name="输入 2" xfId="105"/>
    <cellStyle name="一般_~8057313" xfId="106"/>
    <cellStyle name="注释 2" xfId="107"/>
    <cellStyle name="常规 3 3" xfId="108"/>
    <cellStyle name="常规 2 3" xfId="109"/>
    <cellStyle name="常规 9" xfId="110"/>
    <cellStyle name="常规 4 2" xfId="111"/>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externalLink" Target="/xl/externalLinks/externalLink1.xml" Id="rId14" /><Relationship Type="http://schemas.openxmlformats.org/officeDocument/2006/relationships/styles" Target="styles.xml" Id="rId15" /><Relationship Type="http://schemas.openxmlformats.org/officeDocument/2006/relationships/theme" Target="theme/theme1.xml" Id="rId16" /></Relationships>
</file>

<file path=xl/comments/comment1.xml><?xml version="1.0" encoding="utf-8"?>
<comments xmlns="http://schemas.openxmlformats.org/spreadsheetml/2006/main">
  <authors>
    <author>nznz32</author>
    <author>Bill Haughey</author>
  </authors>
  <commentList>
    <comment ref="K7" authorId="0" shapeId="0">
      <text>
        <t>Contents of this column populate top row of I'F Matrix.</t>
      </text>
    </comment>
    <comment ref="L7" authorId="0" shapeId="0">
      <text>
        <t xml:space="preserve">Contents of this column populate top row of I'F Matrix.
</t>
      </text>
    </comment>
    <comment ref="M7" authorId="1" shapeId="0">
      <text>
        <t>Mate
Clearance
Fastening
Weld
Press-fit
Crimp
Molded
Adhesive
Interference fit
Rotational
Electrical (one-hand connection)
Electrical (two-hands connection)</t>
      </text>
    </comment>
    <comment ref="N7" authorId="0" shapeId="0">
      <text>
        <t xml:space="preserve">Contents of this column populate Column B of DRBFM Form.
</t>
      </text>
    </comment>
  </commentList>
</comments>
</file>

<file path=xl/externalLinks/_rels/externalLink1.xml.rels><Relationships xmlns="http://schemas.openxmlformats.org/package/2006/relationships"><Relationship Type="http://schemas.openxmlformats.org/officeDocument/2006/relationships/externalLinkPath" Target="file:///\\rd-17055\luo\DOCUME~1\sz3nfp\LOCALS~1\Temp\notesBAAA25\DOCUME~1\sz3nfp\LOCALS~1\Temp\C.Program%20Files.Lotus.Notes.Data\DFMEA-DRBFM-Workbook-2.32b.xls" TargetMode="External" Id="rId1" /></Relationships>
</file>

<file path=xl/externalLinks/externalLink1.xml><?xml version="1.0" encoding="utf-8"?>
<externalLink xmlns:r="http://schemas.openxmlformats.org/officeDocument/2006/relationships" xmlns="http://schemas.openxmlformats.org/spreadsheetml/2006/main">
  <externalBook r:id="rId1">
    <sheetNames>
      <sheetName val="Block Diagram"/>
      <sheetName val="Team"/>
      <sheetName val="Notes"/>
      <sheetName val="Block"/>
      <sheetName val="Code File Info"/>
      <sheetName val="Enable Macros"/>
      <sheetName val="I'Face Matrix"/>
      <sheetName val="DFMEA-DRBFM"/>
      <sheetName val="Research"/>
      <sheetName val="Definition of Change Point's"/>
      <sheetName val="Process Quality Guide"/>
      <sheetName val="Inputs"/>
      <sheetName val="Outputs"/>
      <sheetName val="Hardware Design Worksheet"/>
      <sheetName val="Validation section of design WS"/>
      <sheetName val="Scales"/>
      <sheetName val="Internet Explorer"/>
      <sheetName val="Addendum"/>
      <sheetName val="TOC"/>
      <sheetName val="CribSheet"/>
      <sheetName val="Algorithm Cribsheet"/>
      <sheetName val="Change Decision Tree"/>
      <sheetName val="Material Change"/>
      <sheetName val="Mechanism Change"/>
      <sheetName val="Electrical Hdwr Change"/>
      <sheetName val="Cal.-Software Change"/>
      <sheetName val="Packaging Change"/>
      <sheetName val="Doc Guidelines"/>
      <sheetName val="JudgmentWords"/>
      <sheetName val="VersionControl"/>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Set>
  </externalBook>
</externalLink>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0.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codeName="DOCO">
    <outlinePr summaryBelow="1" summaryRight="1"/>
    <pageSetUpPr/>
  </sheetPr>
  <dimension ref="A1:I100"/>
  <sheetViews>
    <sheetView workbookViewId="0">
      <pane ySplit="1" topLeftCell="A2" activePane="bottomLeft" state="frozen"/>
      <selection pane="bottomLeft" activeCell="D4" sqref="D4"/>
    </sheetView>
  </sheetViews>
  <sheetFormatPr baseColWidth="8" defaultColWidth="9.1796875" defaultRowHeight="12.5"/>
  <cols>
    <col width="11.26953125" customWidth="1" style="10" min="1" max="1"/>
    <col width="11.1796875" customWidth="1" style="11" min="2" max="2"/>
    <col width="21.54296875" customWidth="1" style="9" min="3" max="3"/>
    <col width="37.453125" customWidth="1" style="9" min="4" max="4"/>
    <col width="9.1796875" customWidth="1" style="9" min="5" max="16384"/>
  </cols>
  <sheetData>
    <row r="1" ht="45.75" customFormat="1" customHeight="1" s="5">
      <c r="A1" s="3" t="inlineStr">
        <is>
          <t>Date</t>
        </is>
      </c>
      <c r="B1" s="4" t="inlineStr">
        <is>
          <t>Version #</t>
        </is>
      </c>
      <c r="C1" s="5" t="inlineStr">
        <is>
          <t>Author of Change</t>
        </is>
      </c>
      <c r="D1" s="5" t="inlineStr">
        <is>
          <t>Description of Change</t>
        </is>
      </c>
      <c r="H1" s="13" t="inlineStr">
        <is>
          <t>Valid Admins</t>
        </is>
      </c>
      <c r="I1" s="13" t="n"/>
    </row>
    <row r="2">
      <c r="A2" s="10" t="n">
        <v>39780</v>
      </c>
      <c r="B2" s="11" t="n">
        <v>1</v>
      </c>
      <c r="C2" s="9" t="n"/>
      <c r="D2" s="9" t="n"/>
    </row>
    <row r="3">
      <c r="C3" s="9" t="n"/>
      <c r="D3" s="9" t="n"/>
    </row>
    <row r="4">
      <c r="C4" s="9" t="n"/>
      <c r="D4" s="9" t="n"/>
    </row>
    <row r="5">
      <c r="C5" s="9" t="n"/>
      <c r="D5" s="9" t="n"/>
    </row>
    <row r="6">
      <c r="B6" s="11" t="n"/>
      <c r="C6" s="9" t="n"/>
      <c r="D6" s="9" t="n"/>
    </row>
    <row r="7">
      <c r="C7" s="9" t="n"/>
      <c r="D7" s="9" t="n"/>
    </row>
    <row r="8">
      <c r="C8" s="9" t="n"/>
      <c r="D8" s="9" t="n"/>
    </row>
    <row r="9">
      <c r="B9" s="11" t="n"/>
      <c r="C9" s="9" t="n"/>
      <c r="D9" s="9" t="n"/>
    </row>
    <row r="10">
      <c r="C10" s="9" t="n"/>
      <c r="D10" s="9" t="n"/>
    </row>
    <row r="11">
      <c r="C11" s="9" t="n"/>
      <c r="D11" s="9" t="n"/>
    </row>
    <row r="12">
      <c r="C12" s="9" t="n"/>
      <c r="D12" s="9" t="n"/>
    </row>
    <row r="13">
      <c r="B13" s="12" t="n"/>
      <c r="C13" s="9" t="n"/>
      <c r="D13" s="9" t="n"/>
    </row>
    <row r="14">
      <c r="C14" s="9" t="n"/>
      <c r="D14" s="9" t="n"/>
    </row>
    <row r="15">
      <c r="C15" s="9" t="n"/>
      <c r="D15" s="9" t="n"/>
    </row>
    <row r="16">
      <c r="C16" s="9" t="n"/>
      <c r="D16" s="9" t="n"/>
    </row>
    <row r="17">
      <c r="C17" s="9" t="n"/>
      <c r="D17" s="9" t="n"/>
    </row>
    <row r="18">
      <c r="C18" s="9" t="n"/>
      <c r="D18" s="9" t="n"/>
    </row>
    <row r="19">
      <c r="C19" s="9" t="n"/>
      <c r="D19" s="9" t="n"/>
    </row>
    <row r="20">
      <c r="C20" s="9" t="n"/>
      <c r="D20" s="9" t="n"/>
    </row>
    <row r="21">
      <c r="C21" s="9" t="n"/>
      <c r="D21" s="9" t="n"/>
    </row>
    <row r="22">
      <c r="B22" s="11" t="n"/>
      <c r="C22" s="9" t="n"/>
      <c r="D22" s="9" t="n"/>
      <c r="E22" s="9" t="n"/>
    </row>
    <row r="23">
      <c r="B23" s="11" t="n"/>
      <c r="C23" s="9" t="n"/>
      <c r="D23" s="9" t="n"/>
    </row>
    <row r="24">
      <c r="B24" s="11" t="n"/>
      <c r="C24" s="9" t="n"/>
      <c r="D24" s="9" t="n"/>
    </row>
    <row r="25">
      <c r="C25" s="9" t="n"/>
      <c r="D25" s="9" t="n"/>
    </row>
    <row r="26">
      <c r="B26" s="11" t="n"/>
      <c r="C26" s="9" t="n"/>
      <c r="D26" s="9" t="n"/>
    </row>
    <row r="27">
      <c r="B27" s="11" t="n"/>
      <c r="C27" s="9" t="n"/>
      <c r="D27" s="9" t="n"/>
    </row>
    <row r="28">
      <c r="B28" s="11" t="n"/>
      <c r="C28" s="9" t="n"/>
      <c r="D28" s="9" t="n"/>
    </row>
    <row r="29">
      <c r="B29" s="382" t="n"/>
      <c r="C29" s="9" t="n"/>
      <c r="D29" s="9" t="n"/>
    </row>
    <row r="30">
      <c r="B30" s="11" t="n"/>
      <c r="C30" s="9" t="n"/>
      <c r="D30" s="9" t="n"/>
    </row>
    <row r="31">
      <c r="B31" s="11" t="n"/>
      <c r="C31" s="9" t="n"/>
      <c r="D31" s="9" t="n"/>
    </row>
    <row r="32">
      <c r="B32" s="11" t="n"/>
      <c r="C32" s="9" t="n"/>
      <c r="D32" s="9" t="n"/>
    </row>
    <row r="33">
      <c r="B33" s="11" t="n"/>
      <c r="C33" s="9" t="n"/>
      <c r="D33" s="9" t="n"/>
    </row>
    <row r="34">
      <c r="B34" s="11" t="n"/>
      <c r="C34" s="9" t="n"/>
      <c r="D34" s="9" t="n"/>
    </row>
    <row r="35">
      <c r="B35" s="11" t="n"/>
      <c r="C35" s="9" t="n"/>
      <c r="D35" s="9" t="n"/>
    </row>
    <row r="36">
      <c r="C36" s="9" t="n"/>
      <c r="D36" s="9" t="n"/>
    </row>
    <row r="37">
      <c r="B37" s="11" t="n"/>
      <c r="C37" s="9" t="n"/>
      <c r="D37" s="9" t="n"/>
    </row>
    <row r="38">
      <c r="B38" s="11" t="n"/>
      <c r="C38" s="9" t="n"/>
      <c r="D38" s="9" t="n"/>
    </row>
    <row r="39">
      <c r="B39" s="11" t="n"/>
      <c r="C39" s="9" t="n"/>
      <c r="D39" s="9" t="n"/>
    </row>
    <row r="40">
      <c r="B40" s="11" t="n"/>
      <c r="C40" s="9" t="n"/>
      <c r="D40" s="9" t="n"/>
    </row>
    <row r="41">
      <c r="B41" s="11" t="n"/>
      <c r="C41" s="9" t="n"/>
      <c r="D41" s="9" t="n"/>
    </row>
    <row r="42">
      <c r="B42" s="11" t="n"/>
      <c r="C42" s="9" t="n"/>
      <c r="D42" s="9" t="n"/>
    </row>
    <row r="43">
      <c r="B43" s="11" t="n"/>
      <c r="C43" s="9" t="n"/>
      <c r="D43" s="9" t="n"/>
    </row>
    <row r="44">
      <c r="B44" s="11" t="n"/>
      <c r="C44" s="9" t="n"/>
      <c r="D44" s="9" t="n"/>
    </row>
    <row r="45">
      <c r="C45" s="9" t="n"/>
      <c r="D45" s="9" t="n"/>
    </row>
    <row r="46">
      <c r="B46" s="11" t="n"/>
      <c r="C46" s="9" t="n"/>
      <c r="D46" s="9" t="n"/>
    </row>
    <row r="47">
      <c r="B47" s="11" t="n"/>
      <c r="C47" s="9" t="n"/>
      <c r="D47" s="9" t="n"/>
    </row>
    <row r="48">
      <c r="B48" s="11" t="n"/>
      <c r="C48" s="9" t="n"/>
      <c r="D48" s="9" t="n"/>
    </row>
    <row r="49">
      <c r="C49" s="9" t="n"/>
      <c r="D49" s="9" t="n"/>
    </row>
    <row r="50">
      <c r="B50" s="11" t="n"/>
      <c r="C50" s="9" t="n"/>
      <c r="D50" s="9" t="n"/>
    </row>
    <row r="51">
      <c r="B51" s="11" t="n"/>
      <c r="C51" s="9" t="n"/>
      <c r="D51" s="9" t="n"/>
    </row>
    <row r="52">
      <c r="B52" s="11" t="n"/>
      <c r="C52" s="9" t="n"/>
      <c r="D52" s="9" t="n"/>
    </row>
    <row r="53">
      <c r="B53" s="11" t="n"/>
      <c r="C53" s="9" t="n"/>
      <c r="D53" s="9" t="n"/>
    </row>
    <row r="54">
      <c r="B54" s="11" t="n"/>
      <c r="C54" s="9" t="n"/>
      <c r="D54" s="9" t="n"/>
    </row>
    <row r="55">
      <c r="B55" s="11" t="n"/>
      <c r="C55" s="9" t="n"/>
      <c r="D55" s="9" t="n"/>
    </row>
    <row r="56">
      <c r="C56" s="9" t="n"/>
      <c r="D56" s="9" t="n"/>
    </row>
    <row r="57">
      <c r="B57" s="11" t="n"/>
      <c r="C57" s="9" t="n"/>
      <c r="D57" s="9" t="n"/>
    </row>
    <row r="58">
      <c r="B58" s="11" t="n"/>
      <c r="C58" s="9" t="n"/>
      <c r="D58" s="9" t="n"/>
    </row>
    <row r="59">
      <c r="B59" s="11" t="n"/>
      <c r="C59" s="9" t="n"/>
      <c r="D59" s="9" t="n"/>
    </row>
    <row r="60">
      <c r="B60" s="11" t="n"/>
      <c r="C60" s="9" t="n"/>
      <c r="D60" s="9" t="n"/>
    </row>
    <row r="61">
      <c r="B61" s="11" t="n"/>
      <c r="C61" s="9" t="n"/>
      <c r="D61" s="9" t="n"/>
    </row>
    <row r="62">
      <c r="B62" s="11" t="n"/>
      <c r="C62" s="9" t="n"/>
      <c r="D62" s="9" t="n"/>
    </row>
    <row r="63">
      <c r="B63" s="11" t="n"/>
      <c r="C63" s="9" t="n"/>
      <c r="D63" s="9" t="n"/>
    </row>
    <row r="64">
      <c r="C64" s="9" t="n"/>
      <c r="D64" s="9" t="n"/>
    </row>
    <row r="65">
      <c r="B65" s="11" t="n"/>
      <c r="C65" s="9" t="n"/>
      <c r="D65" s="9" t="n"/>
    </row>
    <row r="66">
      <c r="C66" s="9" t="n"/>
      <c r="D66" s="9" t="n"/>
    </row>
    <row r="67">
      <c r="C67" s="9" t="n"/>
      <c r="D67" s="9" t="n"/>
    </row>
    <row r="68">
      <c r="C68" s="9" t="n"/>
      <c r="D68" s="9" t="n"/>
    </row>
    <row r="69">
      <c r="C69" s="9" t="n"/>
      <c r="D69" s="9" t="n"/>
    </row>
    <row r="70">
      <c r="C70" s="9" t="n"/>
      <c r="D70" s="9" t="n"/>
    </row>
    <row r="71">
      <c r="C71" s="9" t="n"/>
      <c r="D71" s="9" t="n"/>
    </row>
    <row r="72">
      <c r="C72" s="9" t="n"/>
      <c r="D72" s="9" t="n"/>
    </row>
    <row r="73">
      <c r="C73" s="9" t="n"/>
      <c r="D73" s="9" t="n"/>
    </row>
    <row r="74">
      <c r="C74" s="9" t="n"/>
      <c r="D74" s="9" t="n"/>
    </row>
    <row r="75">
      <c r="C75" s="9" t="n"/>
      <c r="D75" s="9" t="n"/>
    </row>
    <row r="76">
      <c r="C76" s="9" t="n"/>
      <c r="D76" s="9" t="n"/>
    </row>
    <row r="77">
      <c r="C77" s="9" t="n"/>
      <c r="D77" s="9" t="n"/>
    </row>
    <row r="78">
      <c r="C78" s="9" t="n"/>
      <c r="D78" s="9" t="n"/>
    </row>
    <row r="79">
      <c r="C79" s="9" t="n"/>
      <c r="D79" s="9" t="n"/>
    </row>
    <row r="80">
      <c r="C80" s="9" t="n"/>
      <c r="D80" s="9" t="n"/>
    </row>
    <row r="81">
      <c r="C81" s="9" t="n"/>
      <c r="D81" s="9" t="n"/>
    </row>
    <row r="82">
      <c r="C82" s="9" t="n"/>
      <c r="D82" s="9" t="n"/>
    </row>
    <row r="83">
      <c r="C83" s="9" t="n"/>
      <c r="D83" s="9" t="n"/>
    </row>
    <row r="84">
      <c r="C84" s="9" t="n"/>
      <c r="D84" s="9" t="n"/>
    </row>
    <row r="85">
      <c r="C85" s="9" t="n"/>
      <c r="D85" s="9" t="n"/>
    </row>
    <row r="86">
      <c r="C86" s="9" t="n"/>
      <c r="D86" s="9" t="n"/>
    </row>
    <row r="87">
      <c r="C87" s="9" t="n"/>
      <c r="D87" s="9" t="n"/>
    </row>
    <row r="88">
      <c r="C88" s="9" t="n"/>
      <c r="D88" s="9" t="n"/>
    </row>
    <row r="89">
      <c r="C89" s="9" t="n"/>
      <c r="D89" s="9" t="n"/>
    </row>
    <row r="90">
      <c r="C90" s="9" t="n"/>
      <c r="D90" s="9" t="n"/>
    </row>
    <row r="91">
      <c r="C91" s="9" t="n"/>
      <c r="D91" s="9" t="n"/>
    </row>
    <row r="92">
      <c r="C92" s="9" t="n"/>
      <c r="D92" s="9" t="n"/>
    </row>
    <row r="93">
      <c r="C93" s="9" t="n"/>
      <c r="D93" s="9" t="n"/>
    </row>
    <row r="94">
      <c r="B94" s="11" t="n"/>
      <c r="C94" s="9" t="n"/>
      <c r="D94" s="9" t="n"/>
    </row>
    <row r="95">
      <c r="C95" s="9" t="n"/>
      <c r="D95" s="9" t="n"/>
    </row>
    <row r="96">
      <c r="C96" s="9" t="n"/>
      <c r="D96" s="9" t="n"/>
    </row>
    <row r="97">
      <c r="C97" s="9" t="n"/>
      <c r="D97" s="9" t="n"/>
    </row>
    <row r="98">
      <c r="C98" s="9" t="n"/>
      <c r="D98" s="9" t="n"/>
    </row>
    <row r="99">
      <c r="C99" s="9" t="n"/>
      <c r="D99" s="9" t="n"/>
    </row>
    <row r="100">
      <c r="C100" s="9" t="n"/>
      <c r="D100" s="9" t="n"/>
    </row>
  </sheetData>
  <pageMargins left="0.75" right="0.75" top="1" bottom="1" header="0.5" footer="0.5"/>
  <pageSetup orientation="portrait"/>
  <headerFooter alignWithMargins="0">
    <oddHeader>&amp;L&amp;8 Form # EN-7.3-F-VDP0960A (16-Feb-06)</oddHeader>
    <oddFooter/>
    <evenHeader/>
    <evenFooter/>
    <firstHeader/>
    <firstFooter/>
  </headerFooter>
</worksheet>
</file>

<file path=xl/worksheets/sheet2.xml><?xml version="1.0" encoding="utf-8"?>
<worksheet xmlns="http://schemas.openxmlformats.org/spreadsheetml/2006/main">
  <sheetPr codeName="shtBlockTemplate">
    <outlinePr summaryBelow="1" summaryRight="1"/>
    <pageSetUpPr fitToPage="1"/>
  </sheetPr>
  <dimension ref="A1:M36"/>
  <sheetViews>
    <sheetView showOutlineSymbols="0" zoomScale="70" zoomScaleNormal="70" workbookViewId="0">
      <pane ySplit="1" topLeftCell="A2" activePane="bottomLeft" state="frozen"/>
      <selection activeCell="C8" sqref="C8"/>
      <selection pane="bottomLeft" activeCell="B8" sqref="B8"/>
    </sheetView>
  </sheetViews>
  <sheetFormatPr baseColWidth="8" defaultColWidth="9.1796875" defaultRowHeight="56.25" customHeight="1"/>
  <cols>
    <col width="13.81640625" customWidth="1" style="95" min="1" max="1"/>
    <col width="26.453125" customWidth="1" style="95" min="2" max="3"/>
    <col width="12.1796875" customWidth="1" style="97" min="4" max="4"/>
    <col width="9.1796875" customWidth="1" style="95" min="5" max="16384"/>
  </cols>
  <sheetData>
    <row r="1" ht="56.25" customFormat="1" customHeight="1" s="1">
      <c r="B1" s="1" t="inlineStr">
        <is>
          <t>ITEM</t>
        </is>
      </c>
      <c r="C1" s="1" t="inlineStr">
        <is>
          <t>DESCRIPTION</t>
        </is>
      </c>
      <c r="D1" s="1" t="inlineStr">
        <is>
          <t>FaceID</t>
        </is>
      </c>
    </row>
    <row r="2" ht="94.5" customHeight="1">
      <c r="A2" s="95" t="inlineStr">
        <is>
          <t>First Row:</t>
        </is>
      </c>
      <c r="B2" s="92" t="n"/>
      <c r="C2" s="92" t="inlineStr">
        <is>
          <t>Block with label</t>
        </is>
      </c>
      <c r="D2" s="232" t="n">
        <v>139</v>
      </c>
      <c r="E2" s="97" t="n">
        <v>7869</v>
      </c>
      <c r="F2" s="97" t="n">
        <v>551</v>
      </c>
      <c r="G2" s="97" t="n">
        <v>662</v>
      </c>
    </row>
    <row r="3" ht="94.5" customHeight="1">
      <c r="B3" s="92" t="n"/>
      <c r="C3" s="92" t="inlineStr">
        <is>
          <t>Block</t>
        </is>
      </c>
      <c r="D3" s="232" t="n">
        <v>131</v>
      </c>
      <c r="E3" s="104" t="n"/>
      <c r="F3" s="97" t="n"/>
      <c r="G3" s="97" t="n"/>
      <c r="K3" s="95" t="inlineStr">
        <is>
          <t>Block (shaded) with Label</t>
        </is>
      </c>
      <c r="L3" s="97" t="n">
        <v>6851</v>
      </c>
      <c r="M3" s="97" t="n">
        <v>661</v>
      </c>
    </row>
    <row r="4" ht="94.5" customHeight="1">
      <c r="B4" s="92" t="n"/>
      <c r="C4" s="92" t="inlineStr">
        <is>
          <t>Line</t>
        </is>
      </c>
      <c r="D4" s="232" t="n">
        <v>130</v>
      </c>
      <c r="E4" s="97" t="n"/>
      <c r="F4" s="97" t="n"/>
      <c r="G4" s="97" t="n"/>
    </row>
    <row r="5" ht="94.5" customHeight="1">
      <c r="B5" s="92" t="n"/>
      <c r="C5" s="92" t="inlineStr">
        <is>
          <t>Clearance</t>
        </is>
      </c>
      <c r="D5" s="232" t="n">
        <v>2234</v>
      </c>
      <c r="E5" s="97" t="n"/>
      <c r="F5" s="97" t="n"/>
      <c r="G5" s="97" t="n"/>
    </row>
    <row r="6" ht="94.5" customHeight="1">
      <c r="B6" s="92" t="n"/>
      <c r="C6" s="92" t="inlineStr">
        <is>
          <t>Connector</t>
        </is>
      </c>
      <c r="D6" s="232" t="n">
        <v>1538</v>
      </c>
      <c r="E6" s="97" t="n">
        <v>516</v>
      </c>
      <c r="F6" s="97" t="n"/>
      <c r="G6" s="97" t="n"/>
    </row>
    <row r="7" ht="94.5" customHeight="1">
      <c r="B7" s="92" t="n"/>
      <c r="C7" s="92" t="inlineStr">
        <is>
          <t>Component (out of scope)</t>
        </is>
      </c>
      <c r="D7" s="232" t="n">
        <v>1851</v>
      </c>
      <c r="E7" s="97" t="n"/>
      <c r="F7" s="97" t="n"/>
      <c r="G7" s="97" t="n"/>
      <c r="K7" s="95" t="inlineStr">
        <is>
          <t>Old one</t>
        </is>
      </c>
    </row>
    <row r="8" ht="94.5" customHeight="1">
      <c r="B8" s="92" t="n"/>
      <c r="C8" s="92" t="inlineStr">
        <is>
          <t>Oval with Label</t>
        </is>
      </c>
      <c r="D8" s="232" t="n">
        <v>720</v>
      </c>
      <c r="E8" s="97" t="n">
        <v>202</v>
      </c>
      <c r="F8" s="97" t="n">
        <v>446</v>
      </c>
      <c r="G8" s="97" t="n">
        <v>7081</v>
      </c>
    </row>
    <row r="9" ht="94.5" customHeight="1">
      <c r="B9" s="92" t="n"/>
      <c r="C9" s="92" t="inlineStr">
        <is>
          <t>Oval</t>
        </is>
      </c>
      <c r="D9" s="232" t="n">
        <v>152</v>
      </c>
      <c r="E9" s="97" t="n">
        <v>1119</v>
      </c>
      <c r="F9" s="97" t="n">
        <v>9711</v>
      </c>
      <c r="G9" s="97" t="n"/>
    </row>
    <row r="10" ht="94.5" customHeight="1">
      <c r="B10" s="92" t="n"/>
      <c r="C10" s="92" t="inlineStr">
        <is>
          <t>Relative Motion</t>
        </is>
      </c>
      <c r="D10" s="232" t="n">
        <v>6527</v>
      </c>
      <c r="E10" s="97" t="n"/>
      <c r="F10" s="97" t="n"/>
      <c r="G10" s="97" t="n"/>
    </row>
    <row r="11" ht="94.5" customHeight="1">
      <c r="B11" s="92" t="n"/>
      <c r="C11" s="92" t="inlineStr">
        <is>
          <t>Connection Blank Label</t>
        </is>
      </c>
      <c r="D11" s="232" t="n">
        <v>492</v>
      </c>
      <c r="E11" s="97" t="n"/>
      <c r="F11" s="97" t="n"/>
      <c r="G11" s="97" t="n"/>
      <c r="H11" s="95" t="inlineStr">
        <is>
          <t># and Description - Connection</t>
        </is>
      </c>
    </row>
    <row r="12" ht="94.5" customHeight="1">
      <c r="B12" s="92" t="n"/>
      <c r="C12" s="92">
        <f>"Connection " &amp;#REF! &amp; " - " &amp;#REF!</f>
        <v/>
      </c>
      <c r="D12" s="232" t="n">
        <v>3777</v>
      </c>
      <c r="E12" s="97" t="n">
        <v>1</v>
      </c>
      <c r="F12" s="97" t="n"/>
      <c r="G12" s="97" t="n"/>
      <c r="H12" s="94">
        <f>REPLACE(F12,1,11,"")</f>
        <v/>
      </c>
    </row>
    <row r="13" ht="94.5" customHeight="1">
      <c r="B13" s="92" t="n"/>
      <c r="C13" s="92">
        <f>"Connection " &amp;#REF! &amp; " - " &amp;#REF!</f>
        <v/>
      </c>
      <c r="D13" s="232" t="n">
        <v>3778</v>
      </c>
      <c r="E13" s="97" t="n">
        <v>2</v>
      </c>
      <c r="F13" s="97" t="n"/>
      <c r="G13" s="97" t="n"/>
      <c r="H13" s="94">
        <f>REPLACE(F13,1,11,"")</f>
        <v/>
      </c>
    </row>
    <row r="14" ht="94.5" customHeight="1">
      <c r="B14" s="92" t="n"/>
      <c r="C14" s="92">
        <f>"Connection " &amp;#REF! &amp; " - " &amp;#REF!</f>
        <v/>
      </c>
      <c r="D14" s="232" t="n">
        <v>3779</v>
      </c>
      <c r="E14" s="97" t="n">
        <v>3</v>
      </c>
      <c r="F14" s="97" t="n"/>
      <c r="G14" s="97" t="n"/>
      <c r="H14" s="94">
        <f>REPLACE(F14,1,11,"")</f>
        <v/>
      </c>
    </row>
    <row r="15" ht="94.5" customHeight="1">
      <c r="B15" s="92" t="n"/>
      <c r="C15" s="92">
        <f>"Connection " &amp;#REF! &amp; " - " &amp;#REF!</f>
        <v/>
      </c>
      <c r="D15" s="232" t="n">
        <v>3780</v>
      </c>
      <c r="E15" s="97" t="n">
        <v>4</v>
      </c>
      <c r="F15" s="97" t="n"/>
      <c r="G15" s="97" t="n"/>
      <c r="H15" s="94">
        <f>REPLACE(F15,1,11,"")</f>
        <v/>
      </c>
    </row>
    <row r="16" ht="94.5" customHeight="1">
      <c r="B16" s="92" t="n"/>
      <c r="C16" s="92">
        <f>"Connection " &amp;#REF! &amp; " - " &amp;#REF!</f>
        <v/>
      </c>
      <c r="D16" s="232" t="n">
        <v>3781</v>
      </c>
      <c r="E16" s="97" t="n">
        <v>5</v>
      </c>
      <c r="F16" s="97" t="n"/>
      <c r="G16" s="97" t="n"/>
      <c r="H16" s="94">
        <f>REPLACE(F16,1,11,"")</f>
        <v/>
      </c>
    </row>
    <row r="17" ht="94.5" customHeight="1">
      <c r="B17" s="92" t="n"/>
      <c r="C17" s="92">
        <f>"Connection " &amp;#REF! &amp; " - " &amp;#REF!</f>
        <v/>
      </c>
      <c r="D17" s="232" t="n">
        <v>3782</v>
      </c>
      <c r="E17" s="97" t="n">
        <v>6</v>
      </c>
      <c r="F17" s="97" t="n"/>
      <c r="G17" s="97" t="n"/>
      <c r="H17" s="94">
        <f>REPLACE(F17,1,11,"")</f>
        <v/>
      </c>
    </row>
    <row r="18" ht="94.5" customHeight="1">
      <c r="B18" s="92" t="n"/>
      <c r="C18" s="92">
        <f>"Connection " &amp;#REF! &amp; " - " &amp;#REF!</f>
        <v/>
      </c>
      <c r="D18" s="232" t="n">
        <v>3783</v>
      </c>
      <c r="E18" s="97" t="n">
        <v>7</v>
      </c>
      <c r="F18" s="97" t="n"/>
      <c r="G18" s="97" t="n"/>
      <c r="H18" s="94">
        <f>REPLACE(F18,1,11,"")</f>
        <v/>
      </c>
    </row>
    <row r="19" ht="94.5" customHeight="1">
      <c r="B19" s="92" t="n"/>
      <c r="C19" s="92">
        <f>"Connection " &amp;#REF! &amp; " - " &amp;#REF!</f>
        <v/>
      </c>
      <c r="D19" s="232" t="n">
        <v>3784</v>
      </c>
      <c r="E19" s="97" t="n">
        <v>8</v>
      </c>
      <c r="F19" s="97" t="n"/>
      <c r="G19" s="97" t="n"/>
      <c r="H19" s="94">
        <f>REPLACE(F19,1,11,"")</f>
        <v/>
      </c>
    </row>
    <row r="20" ht="94.5" customHeight="1">
      <c r="B20" s="92" t="n"/>
      <c r="C20" s="92">
        <f>"Connection " &amp;#REF! &amp; " - " &amp;#REF!</f>
        <v/>
      </c>
      <c r="D20" s="232" t="n">
        <v>3785</v>
      </c>
      <c r="E20" s="97" t="n">
        <v>9</v>
      </c>
      <c r="F20" s="97" t="n"/>
      <c r="G20" s="97" t="n"/>
      <c r="H20" s="94">
        <f>REPLACE(F20,1,11,"")</f>
        <v/>
      </c>
    </row>
    <row r="21" ht="94.5" customHeight="1">
      <c r="B21" s="92" t="n"/>
      <c r="C21" s="92">
        <f>"Connection " &amp;#REF! &amp; " - " &amp;#REF!</f>
        <v/>
      </c>
      <c r="D21" s="232" t="n">
        <v>3786</v>
      </c>
      <c r="E21" s="97" t="n">
        <v>10</v>
      </c>
      <c r="F21" s="97" t="n"/>
      <c r="G21" s="97" t="n"/>
      <c r="H21" s="94">
        <f>REPLACE(F21,1,11,"")</f>
        <v/>
      </c>
    </row>
    <row r="22" ht="94.5" customHeight="1">
      <c r="B22" s="92" t="n"/>
      <c r="C22" s="92" t="n"/>
      <c r="D22" s="232" t="n"/>
    </row>
    <row r="23" ht="94.5" customHeight="1">
      <c r="B23" s="92" t="n"/>
      <c r="C23" s="92" t="n"/>
      <c r="D23" s="232" t="n"/>
    </row>
    <row r="24" ht="94.5" customHeight="1">
      <c r="B24" s="92" t="n"/>
      <c r="C24" s="92" t="n"/>
      <c r="D24" s="232" t="n"/>
    </row>
    <row r="25" ht="94.5" customHeight="1">
      <c r="B25" s="92" t="n"/>
      <c r="C25" s="92" t="n"/>
      <c r="D25" s="232" t="n"/>
    </row>
    <row r="26" ht="94.5" customHeight="1">
      <c r="B26" s="92" t="n"/>
      <c r="C26" s="92" t="n"/>
      <c r="D26" s="232" t="n"/>
    </row>
    <row r="27" ht="94.5" customHeight="1">
      <c r="B27" s="92" t="n"/>
      <c r="C27" s="92" t="n"/>
      <c r="D27" s="232" t="n"/>
    </row>
    <row r="28" ht="94.5" customHeight="1">
      <c r="B28" s="92" t="n"/>
      <c r="C28" s="92" t="n"/>
      <c r="D28" s="232" t="n"/>
    </row>
    <row r="29" ht="94.5" customHeight="1">
      <c r="B29" s="92" t="n"/>
      <c r="C29" s="92" t="n"/>
      <c r="D29" s="232" t="n"/>
    </row>
    <row r="30" ht="94.5" customHeight="1">
      <c r="B30" s="92" t="n"/>
      <c r="C30" s="92" t="n"/>
      <c r="D30" s="232" t="n"/>
    </row>
    <row r="31" ht="94.5" customHeight="1">
      <c r="B31" s="92" t="n"/>
      <c r="C31" s="92" t="n"/>
      <c r="D31" s="232" t="n"/>
    </row>
    <row r="32" ht="94.5" customHeight="1">
      <c r="B32" s="92" t="n"/>
      <c r="C32" s="92" t="n"/>
      <c r="D32" s="232" t="n"/>
    </row>
    <row r="33" ht="94.5" customHeight="1">
      <c r="B33" s="92" t="n"/>
      <c r="C33" s="92" t="n"/>
      <c r="D33" s="232" t="n"/>
    </row>
    <row r="34" ht="94.5" customHeight="1">
      <c r="B34" s="92" t="n"/>
      <c r="C34" s="92" t="n"/>
      <c r="D34" s="232" t="n"/>
    </row>
    <row r="35" ht="94.5" customHeight="1">
      <c r="B35" s="92" t="n"/>
      <c r="C35" s="92" t="n"/>
      <c r="D35" s="232" t="n"/>
    </row>
    <row r="36" ht="94.5" customHeight="1">
      <c r="A36" s="95" t="inlineStr">
        <is>
          <t>Last Row</t>
        </is>
      </c>
    </row>
  </sheetData>
  <printOptions horizontalCentered="1"/>
  <pageMargins left="0.25" right="0.25" top="0.25" bottom="0.25" header="0.5" footer="0.5"/>
  <pageSetup orientation="portrait" scale="23"/>
</worksheet>
</file>

<file path=xl/worksheets/sheet3.xml><?xml version="1.0" encoding="utf-8"?>
<worksheet xmlns="http://schemas.openxmlformats.org/spreadsheetml/2006/main">
  <sheetPr codeName="shtInputs">
    <outlinePr summaryBelow="1" summaryRight="1"/>
    <pageSetUpPr/>
  </sheetPr>
  <dimension ref="A1:I50"/>
  <sheetViews>
    <sheetView showGridLines="0" zoomScaleNormal="100" workbookViewId="0">
      <pane ySplit="4" topLeftCell="A5" activePane="bottomLeft" state="frozen"/>
      <selection pane="bottomLeft" activeCell="B5" sqref="B5"/>
    </sheetView>
  </sheetViews>
  <sheetFormatPr baseColWidth="8" defaultColWidth="10.26953125" defaultRowHeight="14"/>
  <cols>
    <col width="5.54296875" customWidth="1" style="23" min="1" max="1"/>
    <col width="44.453125" customWidth="1" style="19" min="2" max="2"/>
    <col width="23.54296875" customWidth="1" style="25" min="3" max="3"/>
    <col width="17.26953125" customWidth="1" style="25" min="4" max="4"/>
    <col width="10.26953125" customWidth="1" style="17" min="5" max="16384"/>
  </cols>
  <sheetData>
    <row r="1">
      <c r="A1" s="80">
        <f>IF(descript="","Description: Enter in Header Info",CONCATENATE("Description: ",descript))</f>
        <v/>
      </c>
      <c r="B1" s="383" t="n"/>
      <c r="C1" s="75" t="n"/>
      <c r="D1" s="75" t="n"/>
    </row>
    <row r="2">
      <c r="A2" s="384" t="n"/>
      <c r="C2" s="21" t="n"/>
      <c r="D2" s="21" t="n"/>
    </row>
    <row r="3">
      <c r="A3" s="385" t="n"/>
      <c r="C3" s="21" t="n"/>
      <c r="D3" s="21" t="n"/>
    </row>
    <row r="4">
      <c r="A4" s="386" t="inlineStr">
        <is>
          <t>#</t>
        </is>
      </c>
      <c r="B4" s="74" t="inlineStr">
        <is>
          <t>Inputs</t>
        </is>
      </c>
      <c r="C4" s="74" t="inlineStr">
        <is>
          <t>Description</t>
        </is>
      </c>
      <c r="D4" s="74" t="inlineStr">
        <is>
          <t>Provider</t>
        </is>
      </c>
    </row>
    <row r="5">
      <c r="A5" s="99" t="n"/>
      <c r="B5" s="387" t="n"/>
      <c r="C5" s="387" t="n"/>
      <c r="D5" s="388" t="n"/>
    </row>
    <row r="6">
      <c r="A6" s="77" t="n"/>
      <c r="B6" s="389" t="n"/>
      <c r="C6" s="389" t="n"/>
      <c r="D6" s="388" t="n"/>
    </row>
    <row r="7">
      <c r="A7" s="77" t="n"/>
      <c r="B7" s="389" t="n"/>
      <c r="C7" s="389" t="n"/>
      <c r="D7" s="388" t="n"/>
    </row>
    <row r="8">
      <c r="A8" s="77" t="n"/>
      <c r="B8" s="389" t="n"/>
      <c r="C8" s="389" t="n"/>
      <c r="D8" s="388" t="n"/>
    </row>
    <row r="9">
      <c r="A9" s="77" t="n"/>
      <c r="B9" s="389" t="n"/>
      <c r="C9" s="389" t="n"/>
      <c r="D9" s="388" t="n"/>
      <c r="G9" s="98" t="n"/>
      <c r="H9" s="98" t="n"/>
      <c r="I9" s="98" t="n"/>
    </row>
    <row r="10">
      <c r="A10" s="77" t="n"/>
      <c r="B10" s="389" t="n"/>
      <c r="C10" s="389" t="n"/>
      <c r="D10" s="388" t="n"/>
    </row>
    <row r="11">
      <c r="A11" s="77" t="n"/>
      <c r="B11" s="389" t="n"/>
      <c r="C11" s="389" t="n"/>
      <c r="D11" s="388" t="n"/>
    </row>
    <row r="12">
      <c r="A12" s="77" t="n"/>
      <c r="B12" s="389" t="n"/>
      <c r="C12" s="389" t="n"/>
      <c r="D12" s="388" t="n"/>
    </row>
    <row r="13">
      <c r="A13" s="77" t="n"/>
      <c r="B13" s="389" t="n"/>
      <c r="C13" s="389" t="n"/>
      <c r="D13" s="388" t="n"/>
    </row>
    <row r="14">
      <c r="A14" s="77" t="n"/>
      <c r="B14" s="389" t="n"/>
      <c r="C14" s="389" t="n"/>
      <c r="D14" s="388" t="n"/>
    </row>
    <row r="15">
      <c r="A15" s="77" t="n"/>
      <c r="B15" s="389" t="n"/>
      <c r="C15" s="389" t="n"/>
      <c r="D15" s="388" t="n"/>
    </row>
    <row r="16">
      <c r="A16" s="77" t="n"/>
      <c r="B16" s="389" t="n"/>
      <c r="C16" s="389" t="n"/>
      <c r="D16" s="388" t="n"/>
    </row>
    <row r="17">
      <c r="A17" s="77" t="n"/>
      <c r="B17" s="389" t="n"/>
      <c r="C17" s="389" t="n"/>
      <c r="D17" s="388" t="n"/>
    </row>
    <row r="18">
      <c r="A18" s="77" t="n"/>
      <c r="B18" s="389" t="n"/>
      <c r="C18" s="389" t="n"/>
      <c r="D18" s="388" t="n"/>
    </row>
    <row r="19">
      <c r="A19" s="77" t="n"/>
      <c r="B19" s="389" t="n"/>
      <c r="C19" s="389" t="n"/>
      <c r="D19" s="388" t="n"/>
    </row>
    <row r="20">
      <c r="A20" s="77" t="n"/>
      <c r="B20" s="389" t="n"/>
      <c r="C20" s="389" t="n"/>
      <c r="D20" s="388" t="n"/>
    </row>
    <row r="21">
      <c r="A21" s="79" t="n"/>
      <c r="B21" s="388" t="n"/>
      <c r="C21" s="388" t="n"/>
      <c r="D21" s="388" t="n"/>
    </row>
    <row r="22">
      <c r="A22" s="79" t="n"/>
      <c r="B22" s="388" t="n"/>
      <c r="C22" s="388" t="n"/>
      <c r="D22" s="388" t="n"/>
    </row>
    <row r="23">
      <c r="A23" s="77" t="n"/>
      <c r="B23" s="389" t="n"/>
      <c r="C23" s="389" t="n"/>
      <c r="D23" s="388" t="n"/>
    </row>
    <row r="24">
      <c r="A24" s="79" t="n"/>
      <c r="B24" s="388" t="n"/>
      <c r="C24" s="388" t="n"/>
      <c r="D24" s="388" t="n"/>
    </row>
    <row r="25">
      <c r="A25" s="79" t="n"/>
      <c r="B25" s="388" t="n"/>
      <c r="C25" s="388" t="n"/>
      <c r="D25" s="388" t="n"/>
    </row>
    <row r="26">
      <c r="A26" s="79" t="n"/>
      <c r="B26" s="388" t="n"/>
      <c r="C26" s="388" t="n"/>
      <c r="D26" s="388" t="n"/>
    </row>
    <row r="27">
      <c r="A27" s="79" t="n"/>
      <c r="B27" s="388" t="n"/>
      <c r="C27" s="388" t="n"/>
      <c r="D27" s="388" t="n"/>
    </row>
    <row r="28">
      <c r="A28" s="79" t="n"/>
      <c r="B28" s="388" t="n"/>
      <c r="C28" s="388" t="n"/>
      <c r="D28" s="388" t="n"/>
    </row>
    <row r="29">
      <c r="A29" s="79" t="n"/>
      <c r="B29" s="388" t="n"/>
      <c r="C29" s="388" t="n"/>
      <c r="D29" s="388" t="n"/>
    </row>
    <row r="30">
      <c r="A30" s="79" t="n"/>
      <c r="B30" s="388" t="n"/>
      <c r="C30" s="388" t="n"/>
      <c r="D30" s="388" t="n"/>
    </row>
    <row r="31">
      <c r="A31" s="79" t="n"/>
      <c r="B31" s="388" t="n"/>
      <c r="C31" s="388" t="n"/>
      <c r="D31" s="388" t="n"/>
    </row>
    <row r="32">
      <c r="A32" s="79" t="n"/>
      <c r="B32" s="388" t="n"/>
      <c r="C32" s="388" t="n"/>
      <c r="D32" s="388" t="n"/>
    </row>
    <row r="33">
      <c r="A33" s="79" t="n"/>
      <c r="B33" s="388" t="n"/>
      <c r="C33" s="388" t="n"/>
      <c r="D33" s="388" t="n"/>
    </row>
    <row r="34">
      <c r="A34" s="79" t="n"/>
      <c r="B34" s="388" t="n"/>
      <c r="C34" s="388" t="n"/>
      <c r="D34" s="388" t="n"/>
    </row>
    <row r="35">
      <c r="A35" s="79" t="n"/>
      <c r="B35" s="388" t="n"/>
      <c r="C35" s="388" t="n"/>
      <c r="D35" s="388" t="n"/>
    </row>
    <row r="36">
      <c r="A36" s="79" t="n"/>
      <c r="B36" s="388" t="n"/>
      <c r="C36" s="388" t="n"/>
      <c r="D36" s="388" t="n"/>
    </row>
    <row r="37">
      <c r="A37" s="79" t="n"/>
      <c r="B37" s="388" t="n"/>
      <c r="C37" s="388" t="n"/>
      <c r="D37" s="388" t="n"/>
    </row>
    <row r="38">
      <c r="A38" s="79" t="n"/>
      <c r="B38" s="388" t="n"/>
      <c r="C38" s="388" t="n"/>
      <c r="D38" s="388" t="n"/>
    </row>
    <row r="39">
      <c r="A39" s="79" t="n"/>
      <c r="B39" s="388" t="n"/>
      <c r="C39" s="388" t="n"/>
      <c r="D39" s="388" t="n"/>
    </row>
    <row r="40">
      <c r="A40" s="79" t="n"/>
      <c r="B40" s="388" t="n"/>
      <c r="C40" s="388" t="n"/>
      <c r="D40" s="388" t="n"/>
    </row>
    <row r="41">
      <c r="A41" s="79" t="n"/>
      <c r="B41" s="388" t="n"/>
      <c r="C41" s="388" t="n"/>
      <c r="D41" s="388" t="n"/>
    </row>
    <row r="42">
      <c r="A42" s="79" t="n"/>
      <c r="B42" s="388" t="n"/>
      <c r="C42" s="388" t="n"/>
      <c r="D42" s="388" t="n"/>
    </row>
    <row r="43">
      <c r="A43" s="79" t="n"/>
      <c r="B43" s="388" t="n"/>
      <c r="C43" s="388" t="n"/>
      <c r="D43" s="388" t="n"/>
    </row>
    <row r="44">
      <c r="A44" s="79" t="n"/>
      <c r="B44" s="388" t="n"/>
      <c r="C44" s="388" t="n"/>
      <c r="D44" s="388" t="n"/>
    </row>
    <row r="45">
      <c r="A45" s="79" t="n"/>
      <c r="B45" s="388" t="n"/>
      <c r="C45" s="388" t="n"/>
      <c r="D45" s="388" t="n"/>
    </row>
    <row r="46">
      <c r="A46" s="79" t="n"/>
      <c r="B46" s="388" t="n"/>
      <c r="C46" s="388" t="n"/>
      <c r="D46" s="388" t="n"/>
    </row>
    <row r="47">
      <c r="A47" s="79" t="n"/>
      <c r="B47" s="388" t="n"/>
      <c r="C47" s="388" t="n"/>
      <c r="D47" s="388" t="n"/>
    </row>
    <row r="48">
      <c r="A48" s="79" t="n"/>
      <c r="B48" s="388" t="n"/>
      <c r="C48" s="388" t="n"/>
      <c r="D48" s="388" t="n"/>
    </row>
    <row r="49">
      <c r="A49" s="79" t="n"/>
      <c r="B49" s="388" t="n"/>
      <c r="C49" s="388" t="n"/>
      <c r="D49" s="388" t="n"/>
    </row>
    <row r="50">
      <c r="A50" s="79" t="n"/>
      <c r="B50" s="388" t="n"/>
      <c r="C50" s="388" t="n"/>
      <c r="D50" s="388" t="n"/>
    </row>
  </sheetData>
  <printOptions horizontalCentered="1"/>
  <pageMargins left="0.25" right="0.25" top="0.5" bottom="0.5" header="0" footer="0"/>
  <pageSetup orientation="portrait"/>
  <headerFooter alignWithMargins="0">
    <oddHeader>&amp;L&amp;8 Form # EN-7.3-F-VDP0960A (23-Feb-06)&amp;R&amp;8 GM NAPD</oddHeader>
    <oddFooter>&amp;L&amp;8 Printed: &amp;D&amp;C&amp;8 GM Confidential&amp;R&amp;8 Page  &amp;P  of  &amp;N_x000a_&amp;F</oddFooter>
    <evenHeader/>
    <evenFooter/>
    <firstHeader/>
    <firstFooter/>
  </headerFooter>
</worksheet>
</file>

<file path=xl/worksheets/sheet4.xml><?xml version="1.0" encoding="utf-8"?>
<worksheet xmlns="http://schemas.openxmlformats.org/spreadsheetml/2006/main">
  <sheetPr codeName="shtOutputs">
    <outlinePr summaryBelow="1" summaryRight="1"/>
    <pageSetUpPr/>
  </sheetPr>
  <dimension ref="A1:E211"/>
  <sheetViews>
    <sheetView showGridLines="0" zoomScaleNormal="100" workbookViewId="0">
      <pane ySplit="4" topLeftCell="A5" activePane="bottomLeft" state="frozen"/>
      <selection activeCell="D18" sqref="D18"/>
      <selection pane="bottomLeft" activeCell="B6" sqref="B6"/>
    </sheetView>
  </sheetViews>
  <sheetFormatPr baseColWidth="8" defaultColWidth="10.26953125" defaultRowHeight="14"/>
  <cols>
    <col width="5.54296875" customWidth="1" style="23" min="1" max="1"/>
    <col width="39.81640625" customWidth="1" style="25" min="2" max="2"/>
    <col width="14.26953125" customWidth="1" style="25" min="3" max="3"/>
    <col width="33.453125" customWidth="1" style="25" min="4" max="4"/>
    <col width="23.453125" customWidth="1" style="25" min="5" max="5"/>
    <col width="10.26953125" customWidth="1" style="17" min="6" max="16384"/>
  </cols>
  <sheetData>
    <row r="1">
      <c r="A1" s="390" t="n"/>
      <c r="B1" s="391" t="inlineStr">
        <is>
          <t xml:space="preserve">Description: </t>
        </is>
      </c>
      <c r="C1" s="392">
        <f>IF(descript="","",descript)</f>
        <v/>
      </c>
      <c r="D1" s="81" t="n"/>
      <c r="E1" s="17" t="n"/>
    </row>
    <row r="2">
      <c r="A2" s="384" t="n"/>
      <c r="B2" s="24" t="n"/>
      <c r="C2" s="21" t="n"/>
      <c r="D2" s="17" t="n"/>
      <c r="E2" s="17" t="n"/>
    </row>
    <row r="3">
      <c r="A3" s="385" t="n"/>
      <c r="B3" s="24" t="n"/>
      <c r="C3" s="21" t="n"/>
      <c r="D3" s="17" t="n"/>
      <c r="E3" s="74" t="inlineStr">
        <is>
          <t>Text Prefix</t>
        </is>
      </c>
    </row>
    <row r="4">
      <c r="A4" s="386" t="inlineStr">
        <is>
          <t>#</t>
        </is>
      </c>
      <c r="B4" s="74" t="inlineStr">
        <is>
          <t>Outputs</t>
        </is>
      </c>
      <c r="C4" s="74" t="inlineStr">
        <is>
          <t>Recipient(s)</t>
        </is>
      </c>
      <c r="D4" s="74" t="inlineStr">
        <is>
          <t>Output Functions</t>
        </is>
      </c>
      <c r="E4" s="74" t="inlineStr">
        <is>
          <t>System designed to</t>
        </is>
      </c>
    </row>
    <row r="5">
      <c r="A5" s="99" t="n"/>
      <c r="B5" s="393" t="n"/>
      <c r="C5" s="393" t="n"/>
      <c r="D5" s="393" t="n"/>
      <c r="E5" s="394" t="n"/>
    </row>
    <row r="6">
      <c r="A6" s="77" t="n"/>
      <c r="B6" s="395" t="n"/>
      <c r="C6" s="395" t="n"/>
      <c r="D6" s="395" t="n"/>
      <c r="E6" s="394" t="n"/>
    </row>
    <row r="7">
      <c r="A7" s="77" t="n"/>
      <c r="B7" s="395" t="n"/>
      <c r="C7" s="395" t="n"/>
      <c r="D7" s="395" t="n"/>
      <c r="E7" s="394" t="n"/>
    </row>
    <row r="8">
      <c r="A8" s="77" t="n"/>
      <c r="B8" s="395" t="n"/>
      <c r="C8" s="395" t="n"/>
      <c r="D8" s="395" t="n"/>
      <c r="E8" s="394" t="n"/>
    </row>
    <row r="9">
      <c r="A9" s="77" t="n"/>
      <c r="B9" s="395" t="n"/>
      <c r="C9" s="395" t="n"/>
      <c r="D9" s="395" t="n"/>
      <c r="E9" s="394" t="n"/>
    </row>
    <row r="10">
      <c r="A10" s="77" t="n"/>
      <c r="B10" s="395" t="n"/>
      <c r="C10" s="395" t="n"/>
      <c r="D10" s="395" t="n"/>
      <c r="E10" s="394" t="n"/>
    </row>
    <row r="11">
      <c r="A11" s="77" t="n"/>
      <c r="B11" s="395" t="n"/>
      <c r="C11" s="395" t="n"/>
      <c r="D11" s="395" t="n"/>
      <c r="E11" s="394" t="n"/>
    </row>
    <row r="12">
      <c r="A12" s="77" t="n"/>
      <c r="B12" s="395" t="n"/>
      <c r="C12" s="395" t="n"/>
      <c r="D12" s="395" t="n"/>
      <c r="E12" s="394" t="n"/>
    </row>
    <row r="13">
      <c r="A13" s="77" t="n"/>
      <c r="B13" s="395" t="n"/>
      <c r="C13" s="395" t="n"/>
      <c r="D13" s="395" t="n"/>
      <c r="E13" s="394" t="n"/>
    </row>
    <row r="14">
      <c r="A14" s="79" t="n"/>
      <c r="B14" s="394" t="n"/>
      <c r="C14" s="394" t="n"/>
      <c r="D14" s="394" t="n"/>
      <c r="E14" s="394" t="n"/>
    </row>
    <row r="15">
      <c r="A15" s="79" t="n"/>
      <c r="B15" s="394" t="n"/>
      <c r="C15" s="394" t="n"/>
      <c r="D15" s="394" t="n"/>
      <c r="E15" s="394" t="n"/>
    </row>
    <row r="16">
      <c r="A16" s="79" t="n"/>
      <c r="B16" s="394" t="n"/>
      <c r="C16" s="394" t="n"/>
      <c r="D16" s="394" t="n"/>
      <c r="E16" s="394" t="n"/>
    </row>
    <row r="17">
      <c r="A17" s="79" t="n"/>
      <c r="B17" s="394" t="n"/>
      <c r="C17" s="394" t="n"/>
      <c r="D17" s="394" t="n"/>
      <c r="E17" s="394" t="n"/>
    </row>
    <row r="18">
      <c r="A18" s="79" t="n"/>
      <c r="B18" s="394" t="n"/>
      <c r="C18" s="394" t="n"/>
      <c r="D18" s="394" t="n"/>
      <c r="E18" s="394" t="n"/>
    </row>
    <row r="19">
      <c r="A19" s="79" t="n"/>
      <c r="B19" s="394" t="n"/>
      <c r="C19" s="394" t="n"/>
      <c r="D19" s="394" t="n"/>
      <c r="E19" s="394" t="n"/>
    </row>
    <row r="20">
      <c r="A20" s="79" t="n"/>
      <c r="B20" s="394" t="n"/>
      <c r="C20" s="394" t="n"/>
      <c r="D20" s="394" t="n"/>
      <c r="E20" s="394" t="n"/>
    </row>
    <row r="21">
      <c r="A21" s="79" t="n"/>
      <c r="B21" s="394" t="n"/>
      <c r="C21" s="394" t="n"/>
      <c r="D21" s="394" t="n"/>
      <c r="E21" s="394" t="n"/>
    </row>
    <row r="22">
      <c r="A22" s="79" t="n"/>
      <c r="B22" s="394" t="n"/>
      <c r="C22" s="394" t="n"/>
      <c r="D22" s="394" t="n"/>
      <c r="E22" s="394" t="n"/>
    </row>
    <row r="23">
      <c r="A23" s="79" t="n"/>
      <c r="B23" s="394" t="n"/>
      <c r="C23" s="394" t="n"/>
      <c r="D23" s="394" t="n"/>
      <c r="E23" s="394" t="n"/>
    </row>
    <row r="24">
      <c r="A24" s="79" t="n"/>
      <c r="B24" s="394" t="n"/>
      <c r="C24" s="394" t="n"/>
      <c r="D24" s="394" t="n"/>
      <c r="E24" s="394" t="n"/>
    </row>
    <row r="25">
      <c r="A25" s="79" t="n"/>
      <c r="B25" s="394" t="n"/>
      <c r="C25" s="394" t="n"/>
      <c r="D25" s="394" t="n"/>
      <c r="E25" s="394" t="n"/>
    </row>
    <row r="26">
      <c r="A26" s="79" t="n"/>
      <c r="B26" s="394" t="n"/>
      <c r="C26" s="394" t="n"/>
      <c r="D26" s="394" t="n"/>
      <c r="E26" s="394" t="n"/>
    </row>
    <row r="27">
      <c r="A27" s="79" t="n"/>
      <c r="B27" s="394" t="n"/>
      <c r="C27" s="394" t="n"/>
      <c r="D27" s="394" t="n"/>
      <c r="E27" s="394" t="n"/>
    </row>
    <row r="28">
      <c r="A28" s="77" t="n"/>
      <c r="B28" s="395" t="n"/>
      <c r="C28" s="395" t="n"/>
      <c r="D28" s="395" t="n"/>
      <c r="E28" s="394" t="n"/>
    </row>
    <row r="29">
      <c r="A29" s="79" t="n"/>
      <c r="B29" s="394" t="n"/>
      <c r="C29" s="394" t="n"/>
      <c r="D29" s="394" t="n"/>
      <c r="E29" s="394" t="n"/>
    </row>
    <row r="30">
      <c r="A30" s="79" t="n"/>
      <c r="B30" s="394" t="n"/>
      <c r="C30" s="394" t="n"/>
      <c r="D30" s="394" t="n"/>
      <c r="E30" s="394" t="n"/>
    </row>
    <row r="31">
      <c r="A31" s="79" t="n"/>
      <c r="B31" s="394" t="n"/>
      <c r="C31" s="394" t="n"/>
      <c r="D31" s="394" t="n"/>
      <c r="E31" s="394" t="n"/>
    </row>
    <row r="32">
      <c r="A32" s="79" t="n"/>
      <c r="B32" s="394" t="n"/>
      <c r="C32" s="394" t="n"/>
      <c r="D32" s="394" t="n"/>
      <c r="E32" s="394" t="n"/>
    </row>
    <row r="33">
      <c r="A33" s="79" t="n"/>
      <c r="B33" s="394" t="n"/>
      <c r="C33" s="394" t="n"/>
      <c r="D33" s="394" t="n"/>
      <c r="E33" s="394" t="n"/>
    </row>
    <row r="34">
      <c r="A34" s="79" t="n"/>
      <c r="B34" s="394" t="n"/>
      <c r="C34" s="394" t="n"/>
      <c r="D34" s="394" t="n"/>
      <c r="E34" s="394" t="n"/>
    </row>
    <row r="35">
      <c r="A35" s="79" t="n"/>
      <c r="B35" s="394" t="n"/>
      <c r="C35" s="394" t="n"/>
      <c r="D35" s="394" t="n"/>
      <c r="E35" s="394" t="n"/>
    </row>
    <row r="36">
      <c r="A36" s="79" t="n"/>
      <c r="B36" s="394" t="n"/>
      <c r="C36" s="394" t="n"/>
      <c r="D36" s="394" t="n"/>
      <c r="E36" s="394" t="n"/>
    </row>
    <row r="37">
      <c r="A37" s="79" t="n"/>
      <c r="B37" s="394" t="n"/>
      <c r="C37" s="394" t="n"/>
      <c r="D37" s="394" t="n"/>
      <c r="E37" s="394" t="n"/>
    </row>
    <row r="38">
      <c r="A38" s="79" t="n"/>
      <c r="B38" s="394" t="n"/>
      <c r="C38" s="394" t="n"/>
      <c r="D38" s="394" t="n"/>
      <c r="E38" s="394" t="n"/>
    </row>
    <row r="39">
      <c r="A39" s="79" t="n"/>
      <c r="B39" s="394" t="n"/>
      <c r="C39" s="394" t="n"/>
      <c r="D39" s="394" t="n"/>
      <c r="E39" s="394" t="n"/>
    </row>
    <row r="40">
      <c r="A40" s="79" t="n"/>
      <c r="B40" s="394" t="n"/>
      <c r="C40" s="394" t="n"/>
      <c r="D40" s="394" t="n"/>
      <c r="E40" s="394" t="n"/>
    </row>
    <row r="41">
      <c r="A41" s="79" t="n"/>
      <c r="B41" s="394" t="n"/>
      <c r="C41" s="394" t="n"/>
      <c r="D41" s="394" t="n"/>
      <c r="E41" s="394" t="n"/>
    </row>
    <row r="42">
      <c r="A42" s="79" t="n"/>
      <c r="B42" s="394" t="n"/>
      <c r="C42" s="394" t="n"/>
      <c r="D42" s="394" t="n"/>
      <c r="E42" s="394" t="n"/>
    </row>
    <row r="43">
      <c r="A43" s="79" t="n"/>
      <c r="B43" s="394" t="n"/>
      <c r="C43" s="394" t="n"/>
      <c r="D43" s="394" t="n"/>
      <c r="E43" s="394" t="n"/>
    </row>
    <row r="44">
      <c r="A44" s="79" t="n"/>
      <c r="B44" s="394" t="n"/>
      <c r="C44" s="394" t="n"/>
      <c r="D44" s="394" t="n"/>
      <c r="E44" s="394" t="n"/>
    </row>
    <row r="45">
      <c r="A45" s="79" t="n"/>
      <c r="B45" s="394" t="n"/>
      <c r="C45" s="394" t="n"/>
      <c r="D45" s="394" t="n"/>
      <c r="E45" s="394" t="n"/>
    </row>
    <row r="46">
      <c r="A46" s="79" t="n"/>
      <c r="B46" s="394" t="n"/>
      <c r="C46" s="394" t="n"/>
      <c r="D46" s="394" t="n"/>
      <c r="E46" s="394" t="n"/>
    </row>
    <row r="47">
      <c r="A47" s="79" t="n"/>
      <c r="B47" s="394" t="n"/>
      <c r="C47" s="394" t="n"/>
      <c r="D47" s="394" t="n"/>
      <c r="E47" s="394" t="n"/>
    </row>
    <row r="48">
      <c r="A48" s="79" t="n"/>
      <c r="B48" s="394" t="n"/>
      <c r="C48" s="394" t="n"/>
      <c r="D48" s="394" t="n"/>
      <c r="E48" s="394" t="n"/>
    </row>
    <row r="49">
      <c r="A49" s="79" t="n"/>
      <c r="B49" s="394" t="n"/>
      <c r="C49" s="394" t="n"/>
      <c r="D49" s="394" t="n"/>
      <c r="E49" s="394" t="n"/>
    </row>
    <row r="50">
      <c r="A50" s="79" t="n"/>
      <c r="B50" s="394" t="n"/>
      <c r="C50" s="394" t="n"/>
      <c r="D50" s="394" t="n"/>
      <c r="E50" s="394" t="n"/>
    </row>
    <row r="51">
      <c r="A51" s="79" t="n"/>
      <c r="B51" s="394" t="n"/>
      <c r="C51" s="394" t="n"/>
      <c r="D51" s="394" t="n"/>
      <c r="E51" s="394" t="n"/>
    </row>
    <row r="52">
      <c r="A52" s="79" t="n"/>
      <c r="B52" s="394" t="n"/>
      <c r="C52" s="394" t="n"/>
      <c r="D52" s="394" t="n"/>
      <c r="E52" s="394" t="n"/>
    </row>
    <row r="53">
      <c r="A53" s="79" t="n"/>
      <c r="B53" s="394" t="n"/>
      <c r="C53" s="394" t="n"/>
      <c r="D53" s="394" t="n"/>
      <c r="E53" s="394" t="n"/>
    </row>
    <row r="54">
      <c r="A54" s="79" t="n"/>
      <c r="B54" s="394" t="n"/>
      <c r="C54" s="394" t="n"/>
      <c r="D54" s="394" t="n"/>
      <c r="E54" s="394" t="n"/>
    </row>
    <row r="55">
      <c r="A55" s="79" t="n"/>
      <c r="B55" s="394" t="n"/>
      <c r="C55" s="394" t="n"/>
      <c r="D55" s="394" t="n"/>
      <c r="E55" s="394" t="n"/>
    </row>
    <row r="56">
      <c r="A56" s="79" t="n"/>
      <c r="B56" s="394" t="n"/>
      <c r="C56" s="394" t="n"/>
      <c r="D56" s="394" t="n"/>
      <c r="E56" s="394" t="n"/>
    </row>
    <row r="57">
      <c r="A57" s="79" t="n"/>
      <c r="B57" s="394" t="n"/>
      <c r="C57" s="394" t="n"/>
      <c r="D57" s="394" t="n"/>
      <c r="E57" s="394" t="n"/>
    </row>
    <row r="58">
      <c r="A58" s="79" t="n"/>
      <c r="B58" s="394" t="n"/>
      <c r="C58" s="394" t="n"/>
      <c r="D58" s="394" t="n"/>
      <c r="E58" s="394" t="n"/>
    </row>
    <row r="59">
      <c r="A59" s="79" t="n"/>
      <c r="B59" s="394" t="n"/>
      <c r="C59" s="394" t="n"/>
      <c r="D59" s="394" t="n"/>
      <c r="E59" s="394" t="n"/>
    </row>
    <row r="60">
      <c r="A60" s="79" t="n"/>
      <c r="B60" s="394" t="n"/>
      <c r="C60" s="394" t="n"/>
      <c r="D60" s="394" t="n"/>
      <c r="E60" s="394" t="n"/>
    </row>
    <row r="61">
      <c r="A61" s="79" t="n"/>
      <c r="B61" s="394" t="n"/>
      <c r="C61" s="394" t="n"/>
      <c r="D61" s="394" t="n"/>
      <c r="E61" s="394" t="n"/>
    </row>
    <row r="62">
      <c r="A62" s="79" t="n"/>
      <c r="B62" s="394" t="n"/>
      <c r="C62" s="394" t="n"/>
      <c r="D62" s="394" t="n"/>
      <c r="E62" s="394" t="n"/>
    </row>
    <row r="63">
      <c r="A63" s="79" t="n"/>
      <c r="B63" s="394" t="n"/>
      <c r="C63" s="394" t="n"/>
      <c r="D63" s="394" t="n"/>
      <c r="E63" s="394" t="n"/>
    </row>
    <row r="64">
      <c r="A64" s="79" t="n"/>
      <c r="B64" s="394" t="n"/>
      <c r="C64" s="394" t="n"/>
      <c r="D64" s="394" t="n"/>
      <c r="E64" s="394" t="n"/>
    </row>
    <row r="65">
      <c r="A65" s="79" t="n"/>
      <c r="B65" s="394" t="n"/>
      <c r="C65" s="394" t="n"/>
      <c r="D65" s="394" t="n"/>
      <c r="E65" s="394" t="n"/>
    </row>
    <row r="66">
      <c r="A66" s="79" t="n"/>
      <c r="B66" s="394" t="n"/>
      <c r="C66" s="394" t="n"/>
      <c r="D66" s="394" t="n"/>
      <c r="E66" s="394" t="n"/>
    </row>
    <row r="67">
      <c r="A67" s="79" t="n"/>
      <c r="B67" s="394" t="n"/>
      <c r="C67" s="394" t="n"/>
      <c r="D67" s="394" t="n"/>
      <c r="E67" s="394" t="n"/>
    </row>
    <row r="68">
      <c r="A68" s="79" t="n"/>
      <c r="B68" s="394" t="n"/>
      <c r="C68" s="394" t="n"/>
      <c r="D68" s="394" t="n"/>
      <c r="E68" s="394" t="n"/>
    </row>
    <row r="69">
      <c r="A69" s="79" t="n"/>
      <c r="B69" s="394" t="n"/>
      <c r="C69" s="394" t="n"/>
      <c r="D69" s="394" t="n"/>
      <c r="E69" s="394" t="n"/>
    </row>
    <row r="70">
      <c r="A70" s="79" t="n"/>
      <c r="B70" s="394" t="n"/>
      <c r="C70" s="394" t="n"/>
      <c r="D70" s="394" t="n"/>
      <c r="E70" s="394" t="n"/>
    </row>
    <row r="71">
      <c r="A71" s="79" t="n"/>
      <c r="B71" s="394" t="n"/>
      <c r="C71" s="394" t="n"/>
      <c r="D71" s="394" t="n"/>
      <c r="E71" s="394" t="n"/>
    </row>
    <row r="72">
      <c r="A72" s="79" t="n"/>
      <c r="B72" s="394" t="n"/>
      <c r="C72" s="394" t="n"/>
      <c r="D72" s="394" t="n"/>
      <c r="E72" s="394" t="n"/>
    </row>
    <row r="73">
      <c r="A73" s="79" t="n"/>
      <c r="B73" s="394" t="n"/>
      <c r="C73" s="394" t="n"/>
      <c r="D73" s="394" t="n"/>
      <c r="E73" s="394" t="n"/>
    </row>
    <row r="74">
      <c r="A74" s="79" t="n"/>
      <c r="B74" s="394" t="n"/>
      <c r="C74" s="394" t="n"/>
      <c r="D74" s="394" t="n"/>
      <c r="E74" s="394" t="n"/>
    </row>
    <row r="75">
      <c r="A75" s="79" t="n"/>
      <c r="B75" s="394" t="n"/>
      <c r="C75" s="394" t="n"/>
      <c r="D75" s="394" t="n"/>
      <c r="E75" s="394" t="n"/>
    </row>
    <row r="76">
      <c r="A76" s="79" t="n"/>
      <c r="B76" s="394" t="n"/>
      <c r="C76" s="394" t="n"/>
      <c r="D76" s="394" t="n"/>
      <c r="E76" s="394" t="n"/>
    </row>
    <row r="77">
      <c r="A77" s="79" t="n"/>
      <c r="B77" s="394" t="n"/>
      <c r="C77" s="394" t="n"/>
      <c r="D77" s="394" t="n"/>
      <c r="E77" s="394" t="n"/>
    </row>
    <row r="78">
      <c r="A78" s="79" t="n"/>
      <c r="B78" s="394" t="n"/>
      <c r="C78" s="394" t="n"/>
      <c r="D78" s="394" t="n"/>
      <c r="E78" s="394" t="n"/>
    </row>
    <row r="79">
      <c r="A79" s="79" t="n"/>
      <c r="B79" s="394" t="n"/>
      <c r="C79" s="394" t="n"/>
      <c r="D79" s="394" t="n"/>
      <c r="E79" s="394" t="n"/>
    </row>
    <row r="80">
      <c r="A80" s="79" t="n"/>
      <c r="B80" s="394" t="n"/>
      <c r="C80" s="394" t="n"/>
      <c r="D80" s="394" t="n"/>
      <c r="E80" s="394" t="n"/>
    </row>
    <row r="81">
      <c r="A81" s="79" t="n"/>
      <c r="B81" s="394" t="n"/>
      <c r="C81" s="394" t="n"/>
      <c r="D81" s="394" t="n"/>
      <c r="E81" s="394" t="n"/>
    </row>
    <row r="82">
      <c r="A82" s="79" t="n"/>
      <c r="B82" s="394" t="n"/>
      <c r="C82" s="394" t="n"/>
      <c r="D82" s="394" t="n"/>
      <c r="E82" s="394" t="n"/>
    </row>
    <row r="83">
      <c r="A83" s="79" t="n"/>
      <c r="B83" s="394" t="n"/>
      <c r="C83" s="394" t="n"/>
      <c r="D83" s="394" t="n"/>
      <c r="E83" s="394" t="n"/>
    </row>
    <row r="84">
      <c r="A84" s="79" t="n"/>
      <c r="B84" s="394" t="n"/>
      <c r="C84" s="394" t="n"/>
      <c r="D84" s="394" t="n"/>
      <c r="E84" s="394" t="n"/>
    </row>
    <row r="85">
      <c r="A85" s="79" t="n"/>
      <c r="B85" s="394" t="n"/>
      <c r="C85" s="394" t="n"/>
      <c r="D85" s="394" t="n"/>
      <c r="E85" s="394" t="n"/>
    </row>
    <row r="86">
      <c r="A86" s="79" t="n"/>
      <c r="B86" s="394" t="n"/>
      <c r="C86" s="394" t="n"/>
      <c r="D86" s="394" t="n"/>
      <c r="E86" s="394" t="n"/>
    </row>
    <row r="87">
      <c r="A87" s="79" t="n"/>
      <c r="B87" s="394" t="n"/>
      <c r="C87" s="394" t="n"/>
      <c r="D87" s="394" t="n"/>
      <c r="E87" s="394" t="n"/>
    </row>
    <row r="88">
      <c r="A88" s="79" t="n"/>
      <c r="B88" s="394" t="n"/>
      <c r="C88" s="394" t="n"/>
      <c r="D88" s="394" t="n"/>
      <c r="E88" s="394" t="n"/>
    </row>
    <row r="89">
      <c r="A89" s="79" t="n"/>
      <c r="B89" s="394" t="n"/>
      <c r="C89" s="394" t="n"/>
      <c r="D89" s="394" t="n"/>
      <c r="E89" s="394" t="n"/>
    </row>
    <row r="90">
      <c r="A90" s="79" t="n"/>
      <c r="B90" s="394" t="n"/>
      <c r="C90" s="394" t="n"/>
      <c r="D90" s="394" t="n"/>
      <c r="E90" s="394" t="n"/>
    </row>
    <row r="91">
      <c r="A91" s="79" t="n"/>
      <c r="B91" s="394" t="n"/>
      <c r="C91" s="394" t="n"/>
      <c r="D91" s="394" t="n"/>
      <c r="E91" s="394" t="n"/>
    </row>
    <row r="92">
      <c r="A92" s="79" t="n"/>
      <c r="B92" s="394" t="n"/>
      <c r="C92" s="394" t="n"/>
      <c r="D92" s="394" t="n"/>
      <c r="E92" s="394" t="n"/>
    </row>
    <row r="93">
      <c r="A93" s="79" t="n"/>
      <c r="B93" s="394" t="n"/>
      <c r="C93" s="394" t="n"/>
      <c r="D93" s="394" t="n"/>
      <c r="E93" s="394" t="n"/>
    </row>
    <row r="94">
      <c r="A94" s="79" t="n"/>
      <c r="B94" s="394" t="n"/>
      <c r="C94" s="394" t="n"/>
      <c r="D94" s="394" t="n"/>
      <c r="E94" s="394" t="n"/>
    </row>
    <row r="95">
      <c r="A95" s="79" t="n"/>
      <c r="B95" s="394" t="n"/>
      <c r="C95" s="394" t="n"/>
      <c r="D95" s="394" t="n"/>
      <c r="E95" s="394" t="n"/>
    </row>
    <row r="96">
      <c r="A96" s="79" t="n"/>
      <c r="B96" s="394" t="n"/>
      <c r="C96" s="394" t="n"/>
      <c r="D96" s="394" t="n"/>
      <c r="E96" s="394" t="n"/>
    </row>
    <row r="97">
      <c r="A97" s="79" t="n"/>
      <c r="B97" s="394" t="n"/>
      <c r="C97" s="394" t="n"/>
      <c r="D97" s="394" t="n"/>
      <c r="E97" s="394" t="n"/>
    </row>
    <row r="98">
      <c r="A98" s="79" t="n"/>
      <c r="B98" s="394" t="n"/>
      <c r="C98" s="394" t="n"/>
      <c r="D98" s="394" t="n"/>
      <c r="E98" s="394" t="n"/>
    </row>
    <row r="99">
      <c r="A99" s="79" t="n"/>
      <c r="B99" s="394" t="n"/>
      <c r="C99" s="394" t="n"/>
      <c r="D99" s="394" t="n"/>
      <c r="E99" s="394" t="n"/>
    </row>
    <row r="100">
      <c r="A100" s="79" t="n"/>
      <c r="B100" s="394" t="n"/>
      <c r="C100" s="394" t="n"/>
      <c r="D100" s="394" t="n"/>
      <c r="E100" s="394" t="n"/>
    </row>
    <row r="101">
      <c r="A101" s="79" t="n"/>
      <c r="B101" s="394" t="n"/>
      <c r="C101" s="394" t="n"/>
      <c r="D101" s="394" t="n"/>
      <c r="E101" s="394" t="n"/>
    </row>
    <row r="102">
      <c r="A102" s="79" t="n"/>
      <c r="B102" s="394" t="n"/>
      <c r="C102" s="394" t="n"/>
      <c r="D102" s="394" t="n"/>
      <c r="E102" s="394" t="n"/>
    </row>
    <row r="103">
      <c r="A103" s="79" t="n"/>
      <c r="B103" s="394" t="n"/>
      <c r="C103" s="394" t="n"/>
      <c r="D103" s="394" t="n"/>
      <c r="E103" s="394" t="n"/>
    </row>
    <row r="104">
      <c r="A104" s="79" t="n"/>
      <c r="B104" s="394" t="n"/>
      <c r="C104" s="394" t="n"/>
      <c r="D104" s="394" t="n"/>
      <c r="E104" s="394" t="n"/>
    </row>
    <row r="105">
      <c r="A105" s="79" t="n"/>
      <c r="B105" s="394" t="n"/>
      <c r="C105" s="394" t="n"/>
      <c r="D105" s="394" t="n"/>
      <c r="E105" s="394" t="n"/>
    </row>
    <row r="106">
      <c r="A106" s="79" t="n"/>
      <c r="B106" s="394" t="n"/>
      <c r="C106" s="394" t="n"/>
      <c r="D106" s="394" t="n"/>
      <c r="E106" s="394" t="n"/>
    </row>
    <row r="107">
      <c r="A107" s="79" t="n"/>
      <c r="B107" s="394" t="n"/>
      <c r="C107" s="394" t="n"/>
      <c r="D107" s="394" t="n"/>
      <c r="E107" s="394" t="n"/>
    </row>
    <row r="108">
      <c r="A108" s="79" t="n"/>
      <c r="B108" s="394" t="n"/>
      <c r="C108" s="394" t="n"/>
      <c r="D108" s="394" t="n"/>
      <c r="E108" s="394" t="n"/>
    </row>
    <row r="109">
      <c r="A109" s="79" t="n"/>
      <c r="B109" s="394" t="n"/>
      <c r="C109" s="394" t="n"/>
      <c r="D109" s="394" t="n"/>
      <c r="E109" s="394" t="n"/>
    </row>
    <row r="110">
      <c r="A110" s="79" t="n"/>
      <c r="B110" s="394" t="n"/>
      <c r="C110" s="394" t="n"/>
      <c r="D110" s="394" t="n"/>
      <c r="E110" s="394" t="n"/>
    </row>
    <row r="111">
      <c r="A111" s="79" t="n"/>
      <c r="B111" s="394" t="n"/>
      <c r="C111" s="394" t="n"/>
      <c r="D111" s="394" t="n"/>
      <c r="E111" s="394" t="n"/>
    </row>
    <row r="112">
      <c r="A112" s="79" t="n"/>
      <c r="B112" s="394" t="n"/>
      <c r="C112" s="394" t="n"/>
      <c r="D112" s="394" t="n"/>
      <c r="E112" s="394" t="n"/>
    </row>
    <row r="113">
      <c r="A113" s="85" t="n"/>
      <c r="B113" s="394" t="n"/>
      <c r="C113" s="394" t="n"/>
      <c r="D113" s="394" t="n"/>
      <c r="E113" s="394" t="n"/>
    </row>
    <row r="114">
      <c r="A114" s="85" t="n"/>
      <c r="B114" s="394" t="n"/>
      <c r="C114" s="394" t="n"/>
      <c r="D114" s="394" t="n"/>
      <c r="E114" s="394" t="n"/>
    </row>
    <row r="115">
      <c r="A115" s="85" t="n"/>
      <c r="B115" s="394" t="n"/>
      <c r="C115" s="394" t="n"/>
      <c r="D115" s="394" t="n"/>
      <c r="E115" s="394" t="n"/>
    </row>
    <row r="116">
      <c r="A116" s="85" t="n"/>
      <c r="B116" s="394" t="n"/>
      <c r="C116" s="394" t="n"/>
      <c r="D116" s="394" t="n"/>
      <c r="E116" s="394" t="n"/>
    </row>
    <row r="117">
      <c r="A117" s="85" t="n"/>
      <c r="B117" s="84" t="n"/>
      <c r="C117" s="84" t="n"/>
      <c r="D117" s="84" t="n"/>
      <c r="E117" s="84" t="n"/>
    </row>
    <row r="118">
      <c r="A118" s="85" t="n"/>
      <c r="B118" s="84" t="n"/>
      <c r="C118" s="84" t="n"/>
      <c r="D118" s="84" t="n"/>
      <c r="E118" s="84" t="n"/>
    </row>
    <row r="119">
      <c r="A119" s="85" t="n"/>
      <c r="B119" s="84" t="n"/>
      <c r="C119" s="84" t="n"/>
      <c r="D119" s="84" t="n"/>
      <c r="E119" s="84" t="n"/>
    </row>
    <row r="120">
      <c r="A120" s="85" t="n"/>
      <c r="B120" s="84" t="n"/>
      <c r="C120" s="84" t="n"/>
      <c r="D120" s="84" t="n"/>
      <c r="E120" s="84" t="n"/>
    </row>
    <row r="121">
      <c r="A121" s="85" t="n"/>
      <c r="B121" s="84" t="n"/>
      <c r="C121" s="84" t="n"/>
      <c r="D121" s="84" t="n"/>
      <c r="E121" s="84" t="n"/>
    </row>
    <row r="122">
      <c r="A122" s="85" t="n"/>
      <c r="B122" s="84" t="n"/>
      <c r="C122" s="84" t="n"/>
      <c r="D122" s="84" t="n"/>
      <c r="E122" s="84" t="n"/>
    </row>
    <row r="123">
      <c r="A123" s="85" t="n"/>
      <c r="B123" s="84" t="n"/>
      <c r="C123" s="84" t="n"/>
      <c r="D123" s="84" t="n"/>
      <c r="E123" s="84" t="n"/>
    </row>
    <row r="124">
      <c r="A124" s="85" t="n"/>
      <c r="B124" s="84" t="n"/>
      <c r="C124" s="84" t="n"/>
      <c r="D124" s="84" t="n"/>
      <c r="E124" s="84" t="n"/>
    </row>
    <row r="125">
      <c r="A125" s="85" t="n"/>
      <c r="B125" s="84" t="n"/>
      <c r="C125" s="84" t="n"/>
      <c r="D125" s="84" t="n"/>
      <c r="E125" s="84" t="n"/>
    </row>
    <row r="126">
      <c r="A126" s="85" t="n"/>
      <c r="B126" s="84" t="n"/>
      <c r="C126" s="84" t="n"/>
      <c r="D126" s="84" t="n"/>
      <c r="E126" s="84" t="n"/>
    </row>
    <row r="127">
      <c r="A127" s="85" t="n"/>
      <c r="B127" s="84" t="n"/>
      <c r="C127" s="84" t="n"/>
      <c r="D127" s="84" t="n"/>
      <c r="E127" s="84" t="n"/>
    </row>
    <row r="128">
      <c r="A128" s="85" t="n"/>
      <c r="B128" s="84" t="n"/>
      <c r="C128" s="84" t="n"/>
      <c r="D128" s="84" t="n"/>
      <c r="E128" s="84" t="n"/>
    </row>
    <row r="129">
      <c r="A129" s="85" t="n"/>
      <c r="B129" s="84" t="n"/>
      <c r="C129" s="84" t="n"/>
      <c r="D129" s="84" t="n"/>
      <c r="E129" s="84" t="n"/>
    </row>
    <row r="130">
      <c r="A130" s="85" t="n"/>
      <c r="B130" s="84" t="n"/>
      <c r="C130" s="84" t="n"/>
      <c r="D130" s="84" t="n"/>
      <c r="E130" s="84" t="n"/>
    </row>
    <row r="131">
      <c r="A131" s="85" t="n"/>
      <c r="B131" s="84" t="n"/>
      <c r="C131" s="84" t="n"/>
      <c r="D131" s="84" t="n"/>
      <c r="E131" s="84" t="n"/>
    </row>
    <row r="132">
      <c r="A132" s="85" t="n"/>
      <c r="B132" s="84" t="n"/>
      <c r="C132" s="84" t="n"/>
      <c r="D132" s="84" t="n"/>
      <c r="E132" s="84" t="n"/>
    </row>
    <row r="133">
      <c r="A133" s="85" t="n"/>
      <c r="B133" s="84" t="n"/>
      <c r="C133" s="84" t="n"/>
      <c r="D133" s="84" t="n"/>
      <c r="E133" s="84" t="n"/>
    </row>
    <row r="134">
      <c r="A134" s="85" t="n"/>
      <c r="B134" s="84" t="n"/>
      <c r="C134" s="84" t="n"/>
      <c r="D134" s="84" t="n"/>
      <c r="E134" s="84" t="n"/>
    </row>
    <row r="135">
      <c r="A135" s="85" t="n"/>
      <c r="B135" s="84" t="n"/>
      <c r="C135" s="84" t="n"/>
      <c r="D135" s="84" t="n"/>
      <c r="E135" s="84" t="n"/>
    </row>
    <row r="136">
      <c r="A136" s="85" t="n"/>
      <c r="B136" s="84" t="n"/>
      <c r="C136" s="84" t="n"/>
      <c r="D136" s="84" t="n"/>
      <c r="E136" s="84" t="n"/>
    </row>
    <row r="137">
      <c r="A137" s="85" t="n"/>
      <c r="B137" s="84" t="n"/>
      <c r="C137" s="84" t="n"/>
      <c r="D137" s="84" t="n"/>
      <c r="E137" s="84" t="n"/>
    </row>
    <row r="138">
      <c r="A138" s="85" t="n"/>
      <c r="B138" s="84" t="n"/>
      <c r="C138" s="84" t="n"/>
      <c r="D138" s="84" t="n"/>
      <c r="E138" s="84" t="n"/>
    </row>
    <row r="139">
      <c r="A139" s="85" t="n"/>
      <c r="B139" s="84" t="n"/>
      <c r="C139" s="84" t="n"/>
      <c r="D139" s="84" t="n"/>
      <c r="E139" s="84" t="n"/>
    </row>
    <row r="140">
      <c r="A140" s="85" t="n"/>
      <c r="B140" s="84" t="n"/>
      <c r="C140" s="84" t="n"/>
      <c r="D140" s="84" t="n"/>
      <c r="E140" s="84" t="n"/>
    </row>
    <row r="141">
      <c r="A141" s="85" t="n"/>
      <c r="B141" s="84" t="n"/>
      <c r="C141" s="84" t="n"/>
      <c r="D141" s="84" t="n"/>
      <c r="E141" s="84" t="n"/>
    </row>
    <row r="142">
      <c r="A142" s="85" t="n"/>
      <c r="B142" s="84" t="n"/>
      <c r="C142" s="84" t="n"/>
      <c r="D142" s="84" t="n"/>
      <c r="E142" s="84" t="n"/>
    </row>
    <row r="143">
      <c r="A143" s="85" t="n"/>
      <c r="B143" s="84" t="n"/>
      <c r="C143" s="84" t="n"/>
      <c r="D143" s="84" t="n"/>
      <c r="E143" s="84" t="n"/>
    </row>
    <row r="144">
      <c r="A144" s="85" t="n"/>
      <c r="B144" s="84" t="n"/>
      <c r="C144" s="84" t="n"/>
      <c r="D144" s="84" t="n"/>
      <c r="E144" s="84" t="n"/>
    </row>
    <row r="145">
      <c r="A145" s="85" t="n"/>
      <c r="B145" s="84" t="n"/>
      <c r="C145" s="84" t="n"/>
      <c r="D145" s="84" t="n"/>
      <c r="E145" s="84" t="n"/>
    </row>
    <row r="146">
      <c r="A146" s="85" t="n"/>
      <c r="B146" s="84" t="n"/>
      <c r="C146" s="84" t="n"/>
      <c r="D146" s="84" t="n"/>
      <c r="E146" s="84" t="n"/>
    </row>
    <row r="147">
      <c r="A147" s="85" t="n"/>
      <c r="B147" s="84" t="n"/>
      <c r="C147" s="84" t="n"/>
      <c r="D147" s="84" t="n"/>
      <c r="E147" s="84" t="n"/>
    </row>
    <row r="148">
      <c r="A148" s="85" t="n"/>
      <c r="B148" s="84" t="n"/>
      <c r="C148" s="84" t="n"/>
      <c r="D148" s="84" t="n"/>
      <c r="E148" s="84" t="n"/>
    </row>
    <row r="149">
      <c r="A149" s="85" t="n"/>
      <c r="B149" s="84" t="n"/>
      <c r="C149" s="84" t="n"/>
      <c r="D149" s="84" t="n"/>
      <c r="E149" s="84" t="n"/>
    </row>
    <row r="150">
      <c r="A150" s="85" t="n"/>
      <c r="B150" s="84" t="n"/>
      <c r="C150" s="84" t="n"/>
      <c r="D150" s="84" t="n"/>
      <c r="E150" s="84" t="n"/>
    </row>
    <row r="151">
      <c r="A151" s="85" t="n"/>
      <c r="B151" s="84" t="n"/>
      <c r="C151" s="84" t="n"/>
      <c r="D151" s="84" t="n"/>
      <c r="E151" s="84" t="n"/>
    </row>
    <row r="152">
      <c r="A152" s="85" t="n"/>
      <c r="B152" s="84" t="n"/>
      <c r="C152" s="84" t="n"/>
      <c r="D152" s="84" t="n"/>
      <c r="E152" s="84" t="n"/>
    </row>
    <row r="153">
      <c r="A153" s="85" t="n"/>
      <c r="B153" s="84" t="n"/>
      <c r="C153" s="84" t="n"/>
      <c r="D153" s="84" t="n"/>
      <c r="E153" s="84" t="n"/>
    </row>
    <row r="154">
      <c r="A154" s="85" t="n"/>
      <c r="B154" s="84" t="n"/>
      <c r="C154" s="84" t="n"/>
      <c r="D154" s="84" t="n"/>
      <c r="E154" s="84" t="n"/>
    </row>
    <row r="155">
      <c r="A155" s="85" t="n"/>
      <c r="B155" s="84" t="n"/>
      <c r="C155" s="84" t="n"/>
      <c r="D155" s="84" t="n"/>
      <c r="E155" s="84" t="n"/>
    </row>
    <row r="156">
      <c r="A156" s="85" t="n"/>
      <c r="B156" s="84" t="n"/>
      <c r="C156" s="84" t="n"/>
      <c r="D156" s="84" t="n"/>
      <c r="E156" s="84" t="n"/>
    </row>
    <row r="157">
      <c r="A157" s="85" t="n"/>
      <c r="B157" s="84" t="n"/>
      <c r="C157" s="84" t="n"/>
      <c r="D157" s="84" t="n"/>
      <c r="E157" s="84" t="n"/>
    </row>
    <row r="158">
      <c r="A158" s="85" t="n"/>
      <c r="B158" s="84" t="n"/>
      <c r="C158" s="84" t="n"/>
      <c r="D158" s="84" t="n"/>
      <c r="E158" s="84" t="n"/>
    </row>
    <row r="159">
      <c r="A159" s="85" t="n"/>
      <c r="B159" s="84" t="n"/>
      <c r="C159" s="84" t="n"/>
      <c r="D159" s="84" t="n"/>
      <c r="E159" s="84" t="n"/>
    </row>
    <row r="160">
      <c r="A160" s="85" t="n"/>
      <c r="B160" s="84" t="n"/>
      <c r="C160" s="84" t="n"/>
      <c r="D160" s="84" t="n"/>
      <c r="E160" s="84" t="n"/>
    </row>
    <row r="161">
      <c r="A161" s="85" t="n"/>
      <c r="B161" s="84" t="n"/>
      <c r="C161" s="84" t="n"/>
      <c r="D161" s="84" t="n"/>
      <c r="E161" s="84" t="n"/>
    </row>
    <row r="162">
      <c r="A162" s="85" t="n"/>
      <c r="B162" s="84" t="n"/>
      <c r="C162" s="84" t="n"/>
      <c r="D162" s="84" t="n"/>
      <c r="E162" s="84" t="n"/>
    </row>
    <row r="163">
      <c r="A163" s="85" t="n"/>
      <c r="B163" s="84" t="n"/>
      <c r="C163" s="84" t="n"/>
      <c r="D163" s="84" t="n"/>
      <c r="E163" s="84" t="n"/>
    </row>
    <row r="164">
      <c r="A164" s="85" t="n"/>
      <c r="B164" s="84" t="n"/>
      <c r="C164" s="84" t="n"/>
      <c r="D164" s="84" t="n"/>
      <c r="E164" s="84" t="n"/>
    </row>
    <row r="165">
      <c r="A165" s="85" t="n"/>
      <c r="B165" s="84" t="n"/>
      <c r="C165" s="84" t="n"/>
      <c r="D165" s="84" t="n"/>
      <c r="E165" s="84" t="n"/>
    </row>
    <row r="166">
      <c r="A166" s="85" t="n"/>
      <c r="B166" s="84" t="n"/>
      <c r="C166" s="84" t="n"/>
      <c r="D166" s="84" t="n"/>
      <c r="E166" s="84" t="n"/>
    </row>
    <row r="167">
      <c r="A167" s="85" t="n"/>
      <c r="B167" s="84" t="n"/>
      <c r="C167" s="84" t="n"/>
      <c r="D167" s="84" t="n"/>
      <c r="E167" s="84" t="n"/>
    </row>
    <row r="168">
      <c r="A168" s="85" t="n"/>
      <c r="B168" s="84" t="n"/>
      <c r="C168" s="84" t="n"/>
      <c r="D168" s="84" t="n"/>
      <c r="E168" s="84" t="n"/>
    </row>
    <row r="169">
      <c r="A169" s="85" t="n"/>
      <c r="B169" s="84" t="n"/>
      <c r="C169" s="84" t="n"/>
      <c r="D169" s="84" t="n"/>
      <c r="E169" s="84" t="n"/>
    </row>
    <row r="170">
      <c r="A170" s="85" t="n"/>
      <c r="B170" s="84" t="n"/>
      <c r="C170" s="84" t="n"/>
      <c r="D170" s="84" t="n"/>
      <c r="E170" s="84" t="n"/>
    </row>
    <row r="171">
      <c r="A171" s="85" t="n"/>
      <c r="B171" s="84" t="n"/>
      <c r="C171" s="84" t="n"/>
      <c r="D171" s="84" t="n"/>
      <c r="E171" s="84" t="n"/>
    </row>
    <row r="172">
      <c r="A172" s="85" t="n"/>
      <c r="B172" s="84" t="n"/>
      <c r="C172" s="84" t="n"/>
      <c r="D172" s="84" t="n"/>
      <c r="E172" s="84" t="n"/>
    </row>
    <row r="173">
      <c r="A173" s="85" t="n"/>
      <c r="B173" s="84" t="n"/>
      <c r="C173" s="84" t="n"/>
      <c r="D173" s="84" t="n"/>
      <c r="E173" s="84" t="n"/>
    </row>
    <row r="174">
      <c r="A174" s="85" t="n"/>
      <c r="B174" s="84" t="n"/>
      <c r="C174" s="84" t="n"/>
      <c r="D174" s="84" t="n"/>
      <c r="E174" s="84" t="n"/>
    </row>
    <row r="175">
      <c r="A175" s="85" t="n"/>
      <c r="B175" s="84" t="n"/>
      <c r="C175" s="84" t="n"/>
      <c r="D175" s="84" t="n"/>
      <c r="E175" s="84" t="n"/>
    </row>
    <row r="176">
      <c r="A176" s="85" t="n"/>
      <c r="B176" s="84" t="n"/>
      <c r="C176" s="84" t="n"/>
      <c r="D176" s="84" t="n"/>
      <c r="E176" s="84" t="n"/>
    </row>
    <row r="177">
      <c r="A177" s="85" t="n"/>
      <c r="B177" s="84" t="n"/>
      <c r="C177" s="84" t="n"/>
      <c r="D177" s="84" t="n"/>
      <c r="E177" s="84" t="n"/>
    </row>
    <row r="178">
      <c r="A178" s="85" t="n"/>
      <c r="B178" s="84" t="n"/>
      <c r="C178" s="84" t="n"/>
      <c r="D178" s="84" t="n"/>
      <c r="E178" s="84" t="n"/>
    </row>
    <row r="179">
      <c r="A179" s="85" t="n"/>
      <c r="B179" s="84" t="n"/>
      <c r="C179" s="84" t="n"/>
      <c r="D179" s="84" t="n"/>
      <c r="E179" s="84" t="n"/>
    </row>
    <row r="180">
      <c r="A180" s="85" t="n"/>
      <c r="B180" s="84" t="n"/>
      <c r="C180" s="84" t="n"/>
      <c r="D180" s="84" t="n"/>
      <c r="E180" s="84" t="n"/>
    </row>
    <row r="181">
      <c r="A181" s="85" t="n"/>
      <c r="B181" s="84" t="n"/>
      <c r="C181" s="84" t="n"/>
      <c r="D181" s="84" t="n"/>
      <c r="E181" s="84" t="n"/>
    </row>
    <row r="182">
      <c r="A182" s="85" t="n"/>
      <c r="B182" s="84" t="n"/>
      <c r="C182" s="84" t="n"/>
      <c r="D182" s="84" t="n"/>
      <c r="E182" s="84" t="n"/>
    </row>
    <row r="183">
      <c r="A183" s="85" t="n"/>
      <c r="B183" s="84" t="n"/>
      <c r="C183" s="84" t="n"/>
      <c r="D183" s="84" t="n"/>
      <c r="E183" s="84" t="n"/>
    </row>
    <row r="184">
      <c r="A184" s="85" t="n"/>
      <c r="B184" s="84" t="n"/>
      <c r="C184" s="84" t="n"/>
      <c r="D184" s="84" t="n"/>
      <c r="E184" s="84" t="n"/>
    </row>
    <row r="185">
      <c r="A185" s="85" t="n"/>
      <c r="B185" s="84" t="n"/>
      <c r="C185" s="84" t="n"/>
      <c r="D185" s="84" t="n"/>
      <c r="E185" s="84" t="n"/>
    </row>
    <row r="186">
      <c r="A186" s="85" t="n"/>
      <c r="B186" s="84" t="n"/>
      <c r="C186" s="84" t="n"/>
      <c r="D186" s="84" t="n"/>
      <c r="E186" s="84" t="n"/>
    </row>
    <row r="187">
      <c r="A187" s="85" t="n"/>
      <c r="B187" s="84" t="n"/>
      <c r="C187" s="84" t="n"/>
      <c r="D187" s="84" t="n"/>
      <c r="E187" s="84" t="n"/>
    </row>
    <row r="188">
      <c r="A188" s="85" t="n"/>
      <c r="B188" s="84" t="n"/>
      <c r="C188" s="84" t="n"/>
      <c r="D188" s="84" t="n"/>
      <c r="E188" s="84" t="n"/>
    </row>
    <row r="189">
      <c r="A189" s="85" t="n"/>
      <c r="B189" s="84" t="n"/>
      <c r="C189" s="84" t="n"/>
      <c r="D189" s="84" t="n"/>
      <c r="E189" s="84" t="n"/>
    </row>
    <row r="190">
      <c r="A190" s="85" t="n"/>
      <c r="B190" s="84" t="n"/>
      <c r="C190" s="84" t="n"/>
      <c r="D190" s="84" t="n"/>
      <c r="E190" s="84" t="n"/>
    </row>
    <row r="191">
      <c r="A191" s="85" t="n"/>
      <c r="B191" s="84" t="n"/>
      <c r="C191" s="84" t="n"/>
      <c r="D191" s="84" t="n"/>
      <c r="E191" s="84" t="n"/>
    </row>
    <row r="192">
      <c r="A192" s="85" t="n"/>
      <c r="B192" s="84" t="n"/>
      <c r="C192" s="84" t="n"/>
      <c r="D192" s="84" t="n"/>
      <c r="E192" s="84" t="n"/>
    </row>
    <row r="193">
      <c r="A193" s="85" t="n"/>
      <c r="B193" s="84" t="n"/>
      <c r="C193" s="84" t="n"/>
      <c r="D193" s="84" t="n"/>
      <c r="E193" s="84" t="n"/>
    </row>
    <row r="194">
      <c r="A194" s="85" t="n"/>
      <c r="B194" s="84" t="n"/>
      <c r="C194" s="84" t="n"/>
      <c r="D194" s="84" t="n"/>
      <c r="E194" s="84" t="n"/>
    </row>
    <row r="195">
      <c r="A195" s="85" t="n"/>
      <c r="B195" s="84" t="n"/>
      <c r="C195" s="84" t="n"/>
      <c r="D195" s="84" t="n"/>
      <c r="E195" s="84" t="n"/>
    </row>
    <row r="196">
      <c r="A196" s="85" t="n"/>
      <c r="B196" s="84" t="n"/>
      <c r="C196" s="84" t="n"/>
      <c r="D196" s="84" t="n"/>
      <c r="E196" s="84" t="n"/>
    </row>
    <row r="197">
      <c r="A197" s="85" t="n"/>
      <c r="B197" s="84" t="n"/>
      <c r="C197" s="84" t="n"/>
      <c r="D197" s="84" t="n"/>
      <c r="E197" s="84" t="n"/>
    </row>
    <row r="198">
      <c r="A198" s="85" t="n"/>
      <c r="B198" s="84" t="n"/>
      <c r="C198" s="84" t="n"/>
      <c r="D198" s="84" t="n"/>
      <c r="E198" s="84" t="n"/>
    </row>
    <row r="199">
      <c r="A199" s="85" t="n"/>
      <c r="B199" s="84" t="n"/>
      <c r="C199" s="84" t="n"/>
      <c r="D199" s="84" t="n"/>
      <c r="E199" s="84" t="n"/>
    </row>
    <row r="200">
      <c r="A200" s="85" t="n"/>
      <c r="B200" s="84" t="n"/>
      <c r="C200" s="84" t="n"/>
      <c r="D200" s="84" t="n"/>
      <c r="E200" s="84" t="n"/>
    </row>
    <row r="201">
      <c r="A201" s="85" t="n"/>
      <c r="B201" s="84" t="n"/>
      <c r="C201" s="84" t="n"/>
      <c r="D201" s="84" t="n"/>
      <c r="E201" s="84" t="n"/>
    </row>
    <row r="202">
      <c r="A202" s="85" t="n"/>
      <c r="B202" s="84" t="n"/>
      <c r="C202" s="84" t="n"/>
      <c r="D202" s="84" t="n"/>
      <c r="E202" s="84" t="n"/>
    </row>
    <row r="203">
      <c r="A203" s="85" t="n"/>
      <c r="B203" s="84" t="n"/>
      <c r="C203" s="84" t="n"/>
      <c r="D203" s="84" t="n"/>
      <c r="E203" s="84" t="n"/>
    </row>
    <row r="204">
      <c r="A204" s="85" t="n"/>
      <c r="B204" s="84" t="n"/>
      <c r="C204" s="84" t="n"/>
      <c r="D204" s="84" t="n"/>
      <c r="E204" s="84" t="n"/>
    </row>
    <row r="205">
      <c r="A205" s="85" t="n"/>
      <c r="B205" s="84" t="n"/>
      <c r="C205" s="84" t="n"/>
      <c r="D205" s="84" t="n"/>
      <c r="E205" s="84" t="n"/>
    </row>
    <row r="206">
      <c r="A206" s="85" t="n"/>
      <c r="B206" s="84" t="n"/>
      <c r="C206" s="84" t="n"/>
      <c r="D206" s="84" t="n"/>
      <c r="E206" s="84" t="n"/>
    </row>
    <row r="207">
      <c r="A207" s="85" t="n"/>
      <c r="B207" s="84" t="n"/>
      <c r="C207" s="84" t="n"/>
      <c r="D207" s="84" t="n"/>
      <c r="E207" s="84" t="n"/>
    </row>
    <row r="208">
      <c r="A208" s="85" t="n"/>
      <c r="B208" s="84" t="n"/>
      <c r="C208" s="84" t="n"/>
      <c r="D208" s="84" t="n"/>
      <c r="E208" s="84" t="n"/>
    </row>
    <row r="209">
      <c r="A209" s="85" t="n"/>
      <c r="B209" s="84" t="n"/>
      <c r="C209" s="84" t="n"/>
      <c r="D209" s="84" t="n"/>
      <c r="E209" s="84" t="n"/>
    </row>
    <row r="210">
      <c r="A210" s="85" t="n"/>
      <c r="B210" s="84" t="n"/>
      <c r="C210" s="84" t="n"/>
      <c r="D210" s="84" t="n"/>
      <c r="E210" s="84" t="n"/>
    </row>
    <row r="211">
      <c r="A211" s="85" t="n"/>
      <c r="B211" s="84" t="n"/>
      <c r="C211" s="84" t="n"/>
      <c r="D211" s="84" t="n"/>
      <c r="E211" s="84" t="n"/>
    </row>
  </sheetData>
  <dataValidations count="1">
    <dataValidation sqref="C1" showDropDown="0" showInputMessage="1" showErrorMessage="1" allowBlank="1" errorTitle="Header Info" error="This information must be entered via the &quot;Header Info&quot; menu button." type="textLength" operator="lessThan">
      <formula1>0</formula1>
    </dataValidation>
  </dataValidations>
  <printOptions horizontalCentered="1"/>
  <pageMargins left="0.25" right="0.25" top="0.5" bottom="0.5" header="0" footer="0"/>
  <pageSetup orientation="portrait" scale="89"/>
  <headerFooter alignWithMargins="0">
    <oddHeader>&amp;L&amp;8 Form # EN-7.3-F-VDP0960A (23-Feb-06)&amp;R&amp;8 GM NAPD</oddHeader>
    <oddFooter>&amp;L&amp;8 Printed: &amp;D&amp;C&amp;8 GM Confidential&amp;R&amp;8 Page  &amp;P  of  &amp;N_x000a_&amp;F</oddFooter>
    <evenHeader/>
    <evenFooter/>
    <firstHeader/>
    <firstFooter/>
  </headerFooter>
</worksheet>
</file>

<file path=xl/worksheets/sheet5.xml><?xml version="1.0" encoding="utf-8"?>
<worksheet xmlns="http://schemas.openxmlformats.org/spreadsheetml/2006/main">
  <sheetPr>
    <outlinePr summaryBelow="1" summaryRight="1"/>
    <pageSetUpPr/>
  </sheetPr>
  <dimension ref="A1:M20"/>
  <sheetViews>
    <sheetView view="pageBreakPreview" zoomScale="55" zoomScaleNormal="100" zoomScaleSheetLayoutView="55" workbookViewId="0">
      <selection activeCell="E1" sqref="E1:J3"/>
    </sheetView>
  </sheetViews>
  <sheetFormatPr baseColWidth="8" defaultColWidth="9.81640625" defaultRowHeight="14"/>
  <cols>
    <col width="13.453125" customWidth="1" style="219" min="1" max="1"/>
    <col width="4.54296875" customWidth="1" style="219" min="2" max="2"/>
    <col width="8" customWidth="1" style="219" min="3" max="3"/>
    <col width="0.26953125" customWidth="1" style="219" min="4" max="4"/>
    <col width="4.54296875" customWidth="1" style="219" min="5" max="5"/>
    <col width="9.453125" customWidth="1" style="219" min="6" max="6"/>
    <col width="13.54296875" customWidth="1" style="219" min="7" max="7"/>
    <col width="11.1796875" customWidth="1" style="219" min="8" max="8"/>
    <col width="9.453125" customWidth="1" style="219" min="9" max="9"/>
    <col width="42.81640625" customWidth="1" style="219" min="10" max="10"/>
    <col width="9.81640625" customWidth="1" style="219" min="11" max="14"/>
    <col width="1.54296875" customWidth="1" style="219" min="15" max="15"/>
    <col width="9.81640625" customWidth="1" style="219" min="16" max="16384"/>
  </cols>
  <sheetData>
    <row r="1" ht="30.75" customHeight="1">
      <c r="A1" s="232" t="n"/>
      <c r="B1" s="396" t="n"/>
      <c r="C1" s="396" t="n"/>
      <c r="D1" s="397" t="n"/>
      <c r="E1" s="398" t="inlineStr">
        <is>
          <t>一次性胰胆成像导管过程失效模式及后果分析（PFMEA)（G06 欧盟）
Single-use Video Pancreaticobiliary Scope PFMEA （G06 EU）</t>
        </is>
      </c>
      <c r="F1" s="396" t="n"/>
      <c r="G1" s="396" t="n"/>
      <c r="H1" s="396" t="n"/>
      <c r="I1" s="396" t="n"/>
      <c r="J1" s="396" t="n"/>
      <c r="K1" s="113" t="inlineStr">
        <is>
          <t>File No.           
文件编号</t>
        </is>
      </c>
      <c r="L1" s="230" t="inlineStr">
        <is>
          <t>TM-0001083</t>
        </is>
      </c>
      <c r="M1" s="399" t="n"/>
    </row>
    <row r="2" ht="30" customHeight="1">
      <c r="A2" s="400" t="n"/>
      <c r="D2" s="401" t="n"/>
      <c r="E2" s="400" t="n"/>
      <c r="K2" s="113" t="inlineStr">
        <is>
          <t>Rev:                
版本</t>
        </is>
      </c>
      <c r="L2" s="230" t="inlineStr">
        <is>
          <t>A/1</t>
        </is>
      </c>
      <c r="M2" s="399" t="n"/>
    </row>
    <row r="3" ht="29.25" customHeight="1">
      <c r="A3" s="402" t="n"/>
      <c r="B3" s="403" t="n"/>
      <c r="C3" s="403" t="n"/>
      <c r="D3" s="404" t="n"/>
      <c r="E3" s="402" t="n"/>
      <c r="F3" s="403" t="n"/>
      <c r="G3" s="403" t="n"/>
      <c r="H3" s="403" t="n"/>
      <c r="I3" s="403" t="n"/>
      <c r="J3" s="403" t="n"/>
      <c r="K3" s="113" t="inlineStr">
        <is>
          <t>Date:              日期</t>
        </is>
      </c>
      <c r="L3" s="231" t="n">
        <v>46090</v>
      </c>
      <c r="M3" s="399" t="n"/>
    </row>
    <row r="4" ht="20.15" customHeight="1">
      <c r="A4" s="219" t="n"/>
      <c r="B4" s="219" t="n"/>
      <c r="C4" s="219" t="n"/>
      <c r="D4" s="234" t="n"/>
      <c r="E4" s="234" t="n"/>
      <c r="F4" s="234" t="n"/>
      <c r="G4" s="234" t="n"/>
      <c r="H4" s="234" t="n"/>
    </row>
    <row r="5" ht="20.15" customHeight="1">
      <c r="A5" s="219" t="n"/>
      <c r="B5" s="219" t="n"/>
      <c r="C5" s="219" t="n"/>
      <c r="D5" s="234" t="n"/>
      <c r="E5" s="234" t="n"/>
      <c r="F5" s="234" t="n"/>
      <c r="G5" s="234" t="n"/>
      <c r="H5" s="234" t="n"/>
    </row>
    <row r="6" ht="20.15" customHeight="1">
      <c r="A6" s="219" t="n"/>
      <c r="B6" s="219" t="n"/>
      <c r="C6" s="219" t="n"/>
      <c r="D6" s="219" t="n"/>
      <c r="E6" s="219" t="n"/>
      <c r="F6" s="219" t="n"/>
      <c r="G6" s="219" t="n"/>
      <c r="H6" s="219" t="n"/>
    </row>
    <row r="7" ht="20.15" customHeight="1">
      <c r="A7" s="219" t="n"/>
      <c r="B7" s="219" t="n"/>
      <c r="C7" s="219" t="n"/>
      <c r="D7" s="219" t="n"/>
      <c r="E7" s="219" t="n"/>
      <c r="F7" s="219" t="n"/>
      <c r="G7" s="219" t="n"/>
      <c r="H7" s="219" t="n"/>
    </row>
    <row r="8" ht="20.15" customHeight="1">
      <c r="A8" s="219" t="n"/>
      <c r="B8" s="219" t="n"/>
      <c r="C8" s="219" t="n"/>
      <c r="D8" s="219" t="n"/>
      <c r="E8" s="219" t="n"/>
      <c r="F8" s="219" t="n"/>
      <c r="G8" s="219" t="n"/>
      <c r="H8" s="219" t="n"/>
    </row>
    <row r="9" ht="20.15" customHeight="1">
      <c r="A9" s="219" t="n"/>
      <c r="B9" s="219" t="n"/>
      <c r="C9" s="219" t="n"/>
      <c r="D9" s="219" t="n"/>
      <c r="E9" s="219" t="n"/>
      <c r="F9" s="219" t="n"/>
      <c r="G9" s="219" t="n"/>
      <c r="H9" s="219" t="n"/>
    </row>
    <row r="10" ht="31.5" customHeight="1">
      <c r="C10" s="223" t="n"/>
      <c r="E10" s="125" t="n"/>
      <c r="F10" s="126" t="n"/>
      <c r="G10" s="118" t="n"/>
      <c r="H10" s="117" t="n"/>
      <c r="I10" s="117" t="n"/>
      <c r="J10" s="118" t="n"/>
    </row>
    <row r="11" ht="31.5" customHeight="1">
      <c r="A11" s="233" t="inlineStr">
        <is>
          <t>一次性胰胆成像导管过程失效模式及后果分析（PFMEA)（G06 欧盟）
Single-use Video Pancreaticobiliary Scope PFMEA （G06 EU）</t>
        </is>
      </c>
    </row>
    <row r="12" ht="62.5" customHeight="1"/>
    <row r="13" ht="31.5" customHeight="1">
      <c r="C13" s="223" t="n"/>
      <c r="E13" s="125" t="n"/>
      <c r="F13" s="126" t="n"/>
      <c r="G13" s="118" t="n"/>
      <c r="H13" s="117" t="n"/>
      <c r="I13" s="118" t="n"/>
      <c r="J13" s="118" t="n"/>
    </row>
    <row r="14" ht="72" customHeight="1">
      <c r="A14" s="219" t="n"/>
      <c r="B14" s="219" t="n"/>
      <c r="C14" s="219" t="n"/>
      <c r="D14" s="219" t="n"/>
      <c r="E14" s="219" t="n"/>
      <c r="F14" s="219" t="n"/>
      <c r="G14" s="219" t="n"/>
      <c r="H14" s="219" t="n"/>
      <c r="I14" s="219" t="n"/>
      <c r="J14" s="219" t="n"/>
      <c r="K14" s="219" t="n"/>
      <c r="L14" s="219" t="n"/>
      <c r="M14" s="219" t="n"/>
    </row>
    <row r="15" ht="20.15" customHeight="1"/>
    <row r="16" ht="20.15" customHeight="1"/>
    <row r="17" ht="20.15" customHeight="1"/>
    <row r="18" ht="20.15" customHeight="1">
      <c r="A18" s="219" t="n"/>
      <c r="B18" s="219" t="n"/>
      <c r="C18" s="219" t="n"/>
      <c r="D18" s="219" t="n"/>
      <c r="E18" s="219" t="n"/>
      <c r="F18" s="219" t="n"/>
      <c r="G18" s="219" t="n"/>
      <c r="H18" s="219" t="n"/>
      <c r="I18" s="219" t="n"/>
      <c r="J18" s="219" t="n"/>
      <c r="K18" s="219" t="n"/>
      <c r="L18" s="219" t="n"/>
      <c r="M18" s="219" t="n"/>
    </row>
    <row r="19">
      <c r="A19" s="220" t="n"/>
    </row>
    <row r="20" ht="16.5" customHeight="1"/>
  </sheetData>
  <mergeCells count="9">
    <mergeCell ref="L2:M2"/>
    <mergeCell ref="L3:M3"/>
    <mergeCell ref="A19:M20"/>
    <mergeCell ref="A1:D3"/>
    <mergeCell ref="C10:D10"/>
    <mergeCell ref="E1:J3"/>
    <mergeCell ref="L1:M1"/>
    <mergeCell ref="C13:D13"/>
    <mergeCell ref="A11:M12"/>
  </mergeCells>
  <printOptions horizontalCentered="1"/>
  <pageMargins left="0.7086614173228347" right="0.7086614173228347" top="0.9448818897637796" bottom="0.7480314960629921" header="0.3149606299212598" footer="0.3149606299212598"/>
  <pageSetup orientation="landscape" paperSize="9" scale="86"/>
  <headerFooter>
    <oddHeader/>
    <oddFooter>&amp;L&amp;"宋体,常规"机密性：此文件包括机密性信息并且是南京迈创医疗器械有限公司的私有财产。此文件及其包含的信息均不可在没有得到南京迈创医疗器械有限公司预先的书面同意的情况下为了第三方的利益被复制、利用和传播。</oddFooter>
    <evenHeader/>
    <evenFooter/>
    <firstHeader/>
    <firstFooter/>
  </headerFooter>
</worksheet>
</file>

<file path=xl/worksheets/sheet6.xml><?xml version="1.0" encoding="utf-8"?>
<worksheet xmlns="http://schemas.openxmlformats.org/spreadsheetml/2006/main">
  <sheetPr>
    <outlinePr summaryBelow="1" summaryRight="1"/>
    <pageSetUpPr fitToPage="1"/>
  </sheetPr>
  <dimension ref="A1:H20"/>
  <sheetViews>
    <sheetView view="pageBreakPreview" zoomScale="55" zoomScaleNormal="100" zoomScaleSheetLayoutView="55" zoomScalePageLayoutView="55" workbookViewId="0">
      <selection activeCell="F17" sqref="F17"/>
    </sheetView>
  </sheetViews>
  <sheetFormatPr baseColWidth="8" defaultColWidth="10.26953125" defaultRowHeight="14"/>
  <cols>
    <col width="5.7265625" bestFit="1" customWidth="1" style="219" min="1" max="1"/>
    <col width="16.26953125" customWidth="1" style="219" min="2" max="2"/>
    <col width="14.54296875" customWidth="1" style="219" min="3" max="3"/>
    <col width="21.54296875" customWidth="1" style="219" min="4" max="4"/>
    <col width="14.7265625" customWidth="1" style="219" min="5" max="5"/>
    <col width="38.54296875" customWidth="1" style="219" min="6" max="6"/>
    <col width="18.26953125" customWidth="1" style="219" min="7" max="7"/>
    <col width="22" customWidth="1" style="219" min="8" max="8"/>
    <col width="10.26953125" customWidth="1" style="219" min="9" max="16384"/>
  </cols>
  <sheetData>
    <row r="1" ht="37.5" customHeight="1">
      <c r="A1" s="235" t="n"/>
      <c r="B1" s="397" t="n"/>
      <c r="C1" s="236">
        <f>封面!E1</f>
        <v/>
      </c>
      <c r="D1" s="396" t="n"/>
      <c r="E1" s="396" t="n"/>
      <c r="F1" s="397" t="n"/>
      <c r="G1" s="113" t="inlineStr">
        <is>
          <t>File No.           
文件编号</t>
        </is>
      </c>
      <c r="H1" s="128">
        <f>封面!L1</f>
        <v/>
      </c>
    </row>
    <row r="2" ht="28.5" customHeight="1">
      <c r="A2" s="400" t="n"/>
      <c r="B2" s="401" t="n"/>
      <c r="C2" s="400" t="n"/>
      <c r="F2" s="401" t="n"/>
      <c r="G2" s="113" t="inlineStr">
        <is>
          <t>Rev:                
版本</t>
        </is>
      </c>
      <c r="H2" s="129">
        <f>封面!L2</f>
        <v/>
      </c>
    </row>
    <row r="3" ht="33.75" customHeight="1">
      <c r="A3" s="402" t="n"/>
      <c r="B3" s="404" t="n"/>
      <c r="C3" s="402" t="n"/>
      <c r="D3" s="403" t="n"/>
      <c r="E3" s="403" t="n"/>
      <c r="F3" s="404" t="n"/>
      <c r="G3" s="113" t="inlineStr">
        <is>
          <t>Date:        
日期</t>
        </is>
      </c>
      <c r="H3" s="134">
        <f>封面!L3</f>
        <v/>
      </c>
    </row>
    <row r="4" ht="81.75" customHeight="1">
      <c r="A4" s="182" t="inlineStr">
        <is>
          <t>序号No.</t>
        </is>
      </c>
      <c r="B4" s="183" t="inlineStr">
        <is>
          <t>规格型号Specifications and models</t>
        </is>
      </c>
      <c r="C4" s="182" t="inlineStr">
        <is>
          <t>内控号internal control number</t>
        </is>
      </c>
      <c r="D4" s="182" t="inlineStr">
        <is>
          <t>线缆cable</t>
        </is>
      </c>
      <c r="E4" s="182" t="inlineStr">
        <is>
          <t>器械通道直径（D1·mm）Instrument channel width</t>
        </is>
      </c>
      <c r="F4" s="182" t="inlineStr">
        <is>
          <t>有效工作长度（L1·mm）Working length</t>
        </is>
      </c>
      <c r="G4" s="182" t="inlineStr">
        <is>
          <t>最大插入部外径(mm）Maximum insertion portion width</t>
        </is>
      </c>
      <c r="H4" s="182" t="inlineStr">
        <is>
          <t xml:space="preserve">软管外径(mm) Insertion tube width </t>
        </is>
      </c>
    </row>
    <row r="5" ht="25" customHeight="1">
      <c r="A5" s="184" t="n">
        <v>1</v>
      </c>
      <c r="B5" s="185" t="inlineStr">
        <is>
          <t>G06001</t>
        </is>
      </c>
      <c r="C5" s="185" t="inlineStr">
        <is>
          <t>EUG06001</t>
        </is>
      </c>
      <c r="D5" s="185" t="inlineStr">
        <is>
          <t>一体Integrated cable</t>
        </is>
      </c>
      <c r="E5" s="186" t="inlineStr">
        <is>
          <t>≥2.5</t>
        </is>
      </c>
      <c r="F5" s="185" t="inlineStr">
        <is>
          <t>600±15</t>
        </is>
      </c>
      <c r="G5" s="185" t="inlineStr">
        <is>
          <t>≤5.4</t>
        </is>
      </c>
      <c r="H5" s="185" t="inlineStr">
        <is>
          <t>4.7±0.2</t>
        </is>
      </c>
    </row>
    <row r="6" ht="25" customHeight="1">
      <c r="A6" s="184" t="n">
        <v>2</v>
      </c>
      <c r="B6" s="185" t="inlineStr">
        <is>
          <t>G06002</t>
        </is>
      </c>
      <c r="C6" s="185" t="inlineStr">
        <is>
          <t>EUG06002</t>
        </is>
      </c>
      <c r="D6" s="185" t="inlineStr">
        <is>
          <t>一体Integrated cable</t>
        </is>
      </c>
      <c r="E6" s="186" t="inlineStr">
        <is>
          <t>≥2.2</t>
        </is>
      </c>
      <c r="F6" s="185" t="inlineStr">
        <is>
          <t>600±15</t>
        </is>
      </c>
      <c r="G6" s="185" t="inlineStr">
        <is>
          <t>≤4.4</t>
        </is>
      </c>
      <c r="H6" s="185" t="inlineStr">
        <is>
          <t>3.9±0.2</t>
        </is>
      </c>
    </row>
    <row r="7" ht="25" customHeight="1">
      <c r="A7" s="184" t="n">
        <v>3</v>
      </c>
      <c r="B7" s="185" t="inlineStr">
        <is>
          <t>G06003</t>
        </is>
      </c>
      <c r="C7" s="185" t="inlineStr">
        <is>
          <t>EUG06003</t>
        </is>
      </c>
      <c r="D7" s="185" t="inlineStr">
        <is>
          <t>一体Integrated cable</t>
        </is>
      </c>
      <c r="E7" s="186" t="inlineStr">
        <is>
          <t>≥2.2</t>
        </is>
      </c>
      <c r="F7" s="186" t="inlineStr">
        <is>
          <t>400±10</t>
        </is>
      </c>
      <c r="G7" s="185" t="inlineStr">
        <is>
          <t>≤4.4</t>
        </is>
      </c>
      <c r="H7" s="185" t="inlineStr">
        <is>
          <t>3.9±0.2</t>
        </is>
      </c>
    </row>
    <row r="8" ht="25" customHeight="1">
      <c r="A8" s="184" t="n">
        <v>4</v>
      </c>
      <c r="B8" s="185" t="inlineStr">
        <is>
          <t>G06004</t>
        </is>
      </c>
      <c r="C8" s="185" t="inlineStr">
        <is>
          <t>EUG06004</t>
        </is>
      </c>
      <c r="D8" s="185" t="inlineStr">
        <is>
          <t>一体Integrated cable</t>
        </is>
      </c>
      <c r="E8" s="186" t="inlineStr">
        <is>
          <t>≥2.8</t>
        </is>
      </c>
      <c r="F8" s="185" t="inlineStr">
        <is>
          <t>600±15</t>
        </is>
      </c>
      <c r="G8" s="185" t="inlineStr">
        <is>
          <t>≤5.6</t>
        </is>
      </c>
      <c r="H8" s="185" t="inlineStr">
        <is>
          <t>5.0±0.2</t>
        </is>
      </c>
    </row>
    <row r="9" ht="25" customHeight="1">
      <c r="A9" s="184" t="n">
        <v>5</v>
      </c>
      <c r="B9" s="185" t="inlineStr">
        <is>
          <t>G06005</t>
        </is>
      </c>
      <c r="C9" s="185" t="inlineStr">
        <is>
          <t>EUG06005</t>
        </is>
      </c>
      <c r="D9" s="185" t="inlineStr">
        <is>
          <t>一体Integrated cable</t>
        </is>
      </c>
      <c r="E9" s="186" t="inlineStr">
        <is>
          <t>≥2.5</t>
        </is>
      </c>
      <c r="F9" s="186" t="inlineStr">
        <is>
          <t>400±10</t>
        </is>
      </c>
      <c r="G9" s="185" t="inlineStr">
        <is>
          <t>≤5.4</t>
        </is>
      </c>
      <c r="H9" s="185" t="inlineStr">
        <is>
          <t>4.7±0.2</t>
        </is>
      </c>
    </row>
    <row r="10" ht="25" customHeight="1">
      <c r="A10" s="184" t="n">
        <v>6</v>
      </c>
      <c r="B10" s="185" t="inlineStr">
        <is>
          <t>G06006</t>
        </is>
      </c>
      <c r="C10" s="185" t="inlineStr">
        <is>
          <t>EUG06006</t>
        </is>
      </c>
      <c r="D10" s="185" t="inlineStr">
        <is>
          <t>一体Integrated cable</t>
        </is>
      </c>
      <c r="E10" s="186" t="inlineStr">
        <is>
          <t>≥1.2</t>
        </is>
      </c>
      <c r="F10" s="185" t="inlineStr">
        <is>
          <t>600±15</t>
        </is>
      </c>
      <c r="G10" s="185" t="inlineStr">
        <is>
          <t>≤3.2</t>
        </is>
      </c>
      <c r="H10" s="185" t="inlineStr">
        <is>
          <t>2.8±0.2</t>
        </is>
      </c>
    </row>
    <row r="11" ht="25" customHeight="1">
      <c r="A11" s="184" t="n">
        <v>7</v>
      </c>
      <c r="B11" s="185" t="inlineStr">
        <is>
          <t>G06007</t>
        </is>
      </c>
      <c r="C11" s="185" t="inlineStr">
        <is>
          <t>EUG06007</t>
        </is>
      </c>
      <c r="D11" s="185" t="inlineStr">
        <is>
          <t>一体Integrated cable</t>
        </is>
      </c>
      <c r="E11" s="186" t="inlineStr">
        <is>
          <t>≥1.2</t>
        </is>
      </c>
      <c r="F11" s="186" t="inlineStr">
        <is>
          <t>400±10</t>
        </is>
      </c>
      <c r="G11" s="185" t="inlineStr">
        <is>
          <t>≤3.2</t>
        </is>
      </c>
      <c r="H11" s="185" t="inlineStr">
        <is>
          <t>2.8±0.2</t>
        </is>
      </c>
    </row>
    <row r="12" ht="25" customHeight="1">
      <c r="A12" s="184" t="n">
        <v>8</v>
      </c>
      <c r="B12" s="185" t="inlineStr">
        <is>
          <t>G06008</t>
        </is>
      </c>
      <c r="C12" s="185" t="inlineStr">
        <is>
          <t>EUG06008</t>
        </is>
      </c>
      <c r="D12" s="185" t="inlineStr">
        <is>
          <t>一体Integrated cable</t>
        </is>
      </c>
      <c r="E12" s="186" t="inlineStr">
        <is>
          <t>≥2.8</t>
        </is>
      </c>
      <c r="F12" s="186" t="inlineStr">
        <is>
          <t>400±10</t>
        </is>
      </c>
      <c r="G12" s="185" t="inlineStr">
        <is>
          <t>≤5.6</t>
        </is>
      </c>
      <c r="H12" s="185" t="inlineStr">
        <is>
          <t>5.0±0.2</t>
        </is>
      </c>
    </row>
    <row r="13" ht="25" customHeight="1">
      <c r="A13" s="184" t="n">
        <v>9</v>
      </c>
      <c r="B13" s="185" t="inlineStr">
        <is>
          <t>G06009</t>
        </is>
      </c>
      <c r="C13" s="185" t="inlineStr">
        <is>
          <t>EUG06009</t>
        </is>
      </c>
      <c r="D13" s="185" t="inlineStr">
        <is>
          <t>分体Split cable</t>
        </is>
      </c>
      <c r="E13" s="186" t="inlineStr">
        <is>
          <t>≥2.5</t>
        </is>
      </c>
      <c r="F13" s="185" t="inlineStr">
        <is>
          <t>600±15</t>
        </is>
      </c>
      <c r="G13" s="185" t="inlineStr">
        <is>
          <t>≤5.4</t>
        </is>
      </c>
      <c r="H13" s="185" t="inlineStr">
        <is>
          <t>4.7±0.2</t>
        </is>
      </c>
    </row>
    <row r="14" ht="25" customHeight="1">
      <c r="A14" s="184" t="n">
        <v>10</v>
      </c>
      <c r="B14" s="185" t="inlineStr">
        <is>
          <t>G06010</t>
        </is>
      </c>
      <c r="C14" s="185" t="inlineStr">
        <is>
          <t>EUG06010</t>
        </is>
      </c>
      <c r="D14" s="185" t="inlineStr">
        <is>
          <t>分体Split cable</t>
        </is>
      </c>
      <c r="E14" s="186" t="inlineStr">
        <is>
          <t>≥2.2</t>
        </is>
      </c>
      <c r="F14" s="185" t="inlineStr">
        <is>
          <t>600±15</t>
        </is>
      </c>
      <c r="G14" s="185" t="inlineStr">
        <is>
          <t>≤4.4</t>
        </is>
      </c>
      <c r="H14" s="185" t="inlineStr">
        <is>
          <t>3.9±0.2</t>
        </is>
      </c>
    </row>
    <row r="15" ht="25" customHeight="1">
      <c r="A15" s="184" t="n">
        <v>11</v>
      </c>
      <c r="B15" s="185" t="inlineStr">
        <is>
          <t>G06011</t>
        </is>
      </c>
      <c r="C15" s="185" t="inlineStr">
        <is>
          <t>EUG06011</t>
        </is>
      </c>
      <c r="D15" s="185" t="inlineStr">
        <is>
          <t>分体Split cable</t>
        </is>
      </c>
      <c r="E15" s="186" t="inlineStr">
        <is>
          <t>≥2.2</t>
        </is>
      </c>
      <c r="F15" s="186" t="inlineStr">
        <is>
          <t>400±10</t>
        </is>
      </c>
      <c r="G15" s="185" t="inlineStr">
        <is>
          <t>≤4.4</t>
        </is>
      </c>
      <c r="H15" s="185" t="inlineStr">
        <is>
          <t>3.9±0.2</t>
        </is>
      </c>
    </row>
    <row r="16" ht="25" customHeight="1">
      <c r="A16" s="184" t="n">
        <v>12</v>
      </c>
      <c r="B16" s="185" t="inlineStr">
        <is>
          <t>G06012</t>
        </is>
      </c>
      <c r="C16" s="185" t="inlineStr">
        <is>
          <t>EUG06012</t>
        </is>
      </c>
      <c r="D16" s="185" t="inlineStr">
        <is>
          <t>分体Split cable</t>
        </is>
      </c>
      <c r="E16" s="186" t="inlineStr">
        <is>
          <t>≥2.8</t>
        </is>
      </c>
      <c r="F16" s="185" t="inlineStr">
        <is>
          <t>600±15</t>
        </is>
      </c>
      <c r="G16" s="185" t="inlineStr">
        <is>
          <t>≤5.6</t>
        </is>
      </c>
      <c r="H16" s="185" t="inlineStr">
        <is>
          <t>5.0±0.2</t>
        </is>
      </c>
    </row>
    <row r="17" ht="25" customHeight="1">
      <c r="A17" s="184" t="n">
        <v>13</v>
      </c>
      <c r="B17" s="185" t="inlineStr">
        <is>
          <t>G06013</t>
        </is>
      </c>
      <c r="C17" s="185" t="inlineStr">
        <is>
          <t>EUG06013</t>
        </is>
      </c>
      <c r="D17" s="185" t="inlineStr">
        <is>
          <t>分体Split cable</t>
        </is>
      </c>
      <c r="E17" s="186" t="inlineStr">
        <is>
          <t>≥2.5</t>
        </is>
      </c>
      <c r="F17" s="186" t="inlineStr">
        <is>
          <t>400±10</t>
        </is>
      </c>
      <c r="G17" s="185" t="inlineStr">
        <is>
          <t>≤5.4</t>
        </is>
      </c>
      <c r="H17" s="185" t="inlineStr">
        <is>
          <t>4.7±0.2</t>
        </is>
      </c>
    </row>
    <row r="18" ht="25" customHeight="1">
      <c r="A18" s="184" t="n">
        <v>14</v>
      </c>
      <c r="B18" s="185" t="inlineStr">
        <is>
          <t>G06014</t>
        </is>
      </c>
      <c r="C18" s="185" t="inlineStr">
        <is>
          <t>EUG06014</t>
        </is>
      </c>
      <c r="D18" s="185" t="inlineStr">
        <is>
          <t>分体Split cable</t>
        </is>
      </c>
      <c r="E18" s="186" t="inlineStr">
        <is>
          <t>≥1.2</t>
        </is>
      </c>
      <c r="F18" s="185" t="inlineStr">
        <is>
          <t>600±15</t>
        </is>
      </c>
      <c r="G18" s="185" t="inlineStr">
        <is>
          <t>≤3.2</t>
        </is>
      </c>
      <c r="H18" s="185" t="inlineStr">
        <is>
          <t>2.8±0.2</t>
        </is>
      </c>
    </row>
    <row r="19" ht="25" customHeight="1">
      <c r="A19" s="184" t="n">
        <v>15</v>
      </c>
      <c r="B19" s="185" t="inlineStr">
        <is>
          <t>G06015</t>
        </is>
      </c>
      <c r="C19" s="185" t="inlineStr">
        <is>
          <t>EUG06015</t>
        </is>
      </c>
      <c r="D19" s="185" t="inlineStr">
        <is>
          <t>分体Split cable</t>
        </is>
      </c>
      <c r="E19" s="186" t="inlineStr">
        <is>
          <t>≥1.2</t>
        </is>
      </c>
      <c r="F19" s="186" t="inlineStr">
        <is>
          <t>400±10</t>
        </is>
      </c>
      <c r="G19" s="185" t="inlineStr">
        <is>
          <t>≤3.2</t>
        </is>
      </c>
      <c r="H19" s="185" t="inlineStr">
        <is>
          <t>2.8±0.2</t>
        </is>
      </c>
    </row>
    <row r="20" ht="25" customHeight="1">
      <c r="A20" s="184" t="n">
        <v>16</v>
      </c>
      <c r="B20" s="185" t="inlineStr">
        <is>
          <t>G06016</t>
        </is>
      </c>
      <c r="C20" s="185" t="inlineStr">
        <is>
          <t>EUG06016</t>
        </is>
      </c>
      <c r="D20" s="185" t="inlineStr">
        <is>
          <t>分体Split cable</t>
        </is>
      </c>
      <c r="E20" s="186" t="inlineStr">
        <is>
          <t>≥2.8</t>
        </is>
      </c>
      <c r="F20" s="186" t="inlineStr">
        <is>
          <t>400±10</t>
        </is>
      </c>
      <c r="G20" s="185" t="inlineStr">
        <is>
          <t>≤5.6</t>
        </is>
      </c>
      <c r="H20" s="185" t="inlineStr">
        <is>
          <t>5.0±0.2</t>
        </is>
      </c>
    </row>
  </sheetData>
  <mergeCells count="2">
    <mergeCell ref="A1:B3"/>
    <mergeCell ref="C1:F3"/>
  </mergeCells>
  <printOptions horizontalCentered="1"/>
  <pageMargins left="0.3149606299212598" right="0.3149606299212598" top="0.7480314960629921" bottom="0.7480314960629921" header="0.3149606299212598" footer="0.3149606299212598"/>
  <pageSetup orientation="landscape" paperSize="9" scale="84" fitToWidth="0"/>
  <headerFooter>
    <oddHeader/>
    <oddFooter>&amp;L&amp;"宋体,常规"机密性：此文件包括机密性信息并且是南京迈创医疗器械有限公司的私有财产。此文件及其包含的信息均不可在没有得到南京迈创医疗器械有限公司预先的书面同意的情况下为了第三方的利益被复制、利用和传播。</oddFooter>
    <evenHeader/>
    <evenFooter/>
    <firstHeader/>
    <firstFooter/>
  </headerFooter>
</worksheet>
</file>

<file path=xl/worksheets/sheet7.xml><?xml version="1.0" encoding="utf-8"?>
<worksheet xmlns="http://schemas.openxmlformats.org/spreadsheetml/2006/main">
  <sheetPr>
    <outlinePr summaryBelow="1" summaryRight="1"/>
    <pageSetUpPr/>
  </sheetPr>
  <dimension ref="A1:S58"/>
  <sheetViews>
    <sheetView tabSelected="1" view="pageBreakPreview" topLeftCell="A3" zoomScale="70" zoomScaleNormal="100" zoomScaleSheetLayoutView="70" workbookViewId="0">
      <selection activeCell="M11" sqref="M11"/>
    </sheetView>
  </sheetViews>
  <sheetFormatPr baseColWidth="8" defaultColWidth="9.1796875" defaultRowHeight="15"/>
  <cols>
    <col width="6.54296875" customWidth="1" style="120" min="1" max="1"/>
    <col width="9" customWidth="1" style="107" min="2" max="2"/>
    <col width="14.81640625" customWidth="1" style="107" min="3" max="3"/>
    <col width="15.54296875" customWidth="1" style="107" min="4" max="4"/>
    <col width="15.54296875" customWidth="1" style="107" min="5" max="5"/>
    <col width="8.7265625" customWidth="1" style="120" min="6" max="6"/>
    <col width="16.54296875" customWidth="1" style="108" min="7" max="7"/>
    <col width="6.54296875" customWidth="1" style="120" min="8" max="8"/>
    <col width="18.54296875" customWidth="1" style="107" min="9" max="9"/>
    <col width="15.54296875" customWidth="1" style="107" min="10" max="10"/>
    <col width="6.54296875" customWidth="1" style="120" min="11" max="11"/>
    <col width="9.54296875" customWidth="1" style="120" min="12" max="12"/>
    <col width="14.7265625" customWidth="1" style="107" min="13" max="13"/>
    <col width="6.54296875" customWidth="1" style="107" min="14" max="14"/>
    <col width="15.54296875" customWidth="1" style="107" min="15" max="15"/>
    <col width="4.54296875" customWidth="1" style="107" min="16" max="18"/>
    <col width="6.54296875" customWidth="1" style="107" min="19" max="19"/>
    <col width="9.1796875" customWidth="1" style="107" min="20" max="16384"/>
  </cols>
  <sheetData>
    <row r="1" ht="27.75" customFormat="1" customHeight="1" s="105">
      <c r="A1" s="232" t="n"/>
      <c r="B1" s="396" t="n"/>
      <c r="C1" s="396" t="n"/>
      <c r="D1" s="397" t="n"/>
      <c r="E1" s="294">
        <f>封面!E1</f>
        <v/>
      </c>
      <c r="F1" s="396" t="n"/>
      <c r="G1" s="396" t="n"/>
      <c r="H1" s="396" t="n"/>
      <c r="I1" s="396" t="n"/>
      <c r="J1" s="396" t="n"/>
      <c r="K1" s="396" t="n"/>
      <c r="L1" s="397" t="n"/>
      <c r="M1" s="113" t="inlineStr">
        <is>
          <t>File No.           
文件编号</t>
        </is>
      </c>
      <c r="N1" s="263">
        <f>封面!L1</f>
        <v/>
      </c>
      <c r="O1" s="405" t="n"/>
      <c r="P1" s="405" t="n"/>
      <c r="Q1" s="405" t="n"/>
      <c r="R1" s="405" t="n"/>
      <c r="S1" s="399" t="n"/>
    </row>
    <row r="2" ht="29.25" customFormat="1" customHeight="1" s="105">
      <c r="A2" s="400" t="n"/>
      <c r="D2" s="401" t="n"/>
      <c r="E2" s="400" t="n"/>
      <c r="L2" s="401" t="n"/>
      <c r="M2" s="113" t="inlineStr">
        <is>
          <t>Rev:                
版本</t>
        </is>
      </c>
      <c r="N2" s="263">
        <f>封面!L2</f>
        <v/>
      </c>
      <c r="O2" s="405" t="n"/>
      <c r="P2" s="405" t="n"/>
      <c r="Q2" s="405" t="n"/>
      <c r="R2" s="405" t="n"/>
      <c r="S2" s="399" t="n"/>
    </row>
    <row r="3" ht="31.5" customFormat="1" customHeight="1" s="105">
      <c r="A3" s="402" t="n"/>
      <c r="B3" s="403" t="n"/>
      <c r="C3" s="403" t="n"/>
      <c r="D3" s="404" t="n"/>
      <c r="E3" s="402" t="n"/>
      <c r="F3" s="403" t="n"/>
      <c r="G3" s="403" t="n"/>
      <c r="H3" s="403" t="n"/>
      <c r="I3" s="403" t="n"/>
      <c r="J3" s="403" t="n"/>
      <c r="K3" s="403" t="n"/>
      <c r="L3" s="404" t="n"/>
      <c r="M3" s="114" t="inlineStr">
        <is>
          <t>Page     of            
第  页/共  页</t>
        </is>
      </c>
      <c r="N3" s="264" t="inlineStr">
        <is>
          <t>第 3 页 / 共 14 页</t>
        </is>
      </c>
      <c r="O3" s="405" t="n"/>
      <c r="P3" s="405" t="n"/>
      <c r="Q3" s="405" t="n"/>
      <c r="R3" s="405" t="n"/>
      <c r="S3" s="399" t="n"/>
    </row>
    <row r="4" ht="26" customFormat="1" customHeight="1" s="105">
      <c r="A4" s="237" t="inlineStr">
        <is>
          <t>序号
N0.</t>
        </is>
      </c>
      <c r="B4" s="237" t="inlineStr">
        <is>
          <t>过程名称
Process Name</t>
        </is>
      </c>
      <c r="C4" s="237" t="inlineStr">
        <is>
          <t>功能要求
Functional requirements</t>
        </is>
      </c>
      <c r="D4" s="237" t="inlineStr">
        <is>
          <t>潜在失效模式
FMEA</t>
        </is>
      </c>
      <c r="E4" s="237" t="inlineStr">
        <is>
          <t>潜在失效后果
Potential Effect of Failure</t>
        </is>
      </c>
      <c r="F4" s="237" t="inlineStr">
        <is>
          <t>严重度
severity</t>
        </is>
      </c>
      <c r="G4" s="237" t="inlineStr">
        <is>
          <t>潜在失效起因/机理
Potential failure causes/mechanisms</t>
        </is>
      </c>
      <c r="H4" s="237" t="inlineStr">
        <is>
          <t>频度
frequency</t>
        </is>
      </c>
      <c r="I4" s="237" t="inlineStr">
        <is>
          <t>现行过程控制
Current process control</t>
        </is>
      </c>
      <c r="J4" s="399" t="n"/>
      <c r="K4" s="237" t="inlineStr">
        <is>
          <t>探测度
detectivity</t>
        </is>
      </c>
      <c r="L4" s="237" t="inlineStr">
        <is>
          <t>风险顺序数
Risk order number</t>
        </is>
      </c>
      <c r="M4" s="237" t="inlineStr">
        <is>
          <t>建议的纠正/预防措施
Suggested corrective/preventive measures</t>
        </is>
      </c>
      <c r="N4" s="237" t="inlineStr">
        <is>
          <t>责任部门
Dept.</t>
        </is>
      </c>
      <c r="O4" s="237" t="inlineStr">
        <is>
          <t>改进后 
 Improved</t>
        </is>
      </c>
      <c r="P4" s="405" t="n"/>
      <c r="Q4" s="405" t="n"/>
      <c r="R4" s="405" t="n"/>
      <c r="S4" s="399" t="n"/>
    </row>
    <row r="5" ht="13" customFormat="1" customHeight="1" s="105">
      <c r="A5" s="406" t="n"/>
      <c r="B5" s="406" t="n"/>
      <c r="C5" s="406" t="n"/>
      <c r="D5" s="406" t="n"/>
      <c r="E5" s="406" t="n"/>
      <c r="F5" s="238" t="inlineStr">
        <is>
          <t>S</t>
        </is>
      </c>
      <c r="G5" s="406" t="n"/>
      <c r="H5" s="238" t="inlineStr">
        <is>
          <t>O</t>
        </is>
      </c>
      <c r="I5" s="238" t="inlineStr">
        <is>
          <t>预防
 Prevent</t>
        </is>
      </c>
      <c r="J5" s="238" t="inlineStr">
        <is>
          <t>探测
 Detection</t>
        </is>
      </c>
      <c r="K5" s="238" t="inlineStr">
        <is>
          <t>D</t>
        </is>
      </c>
      <c r="L5" s="238" t="inlineStr">
        <is>
          <t>RPN</t>
        </is>
      </c>
      <c r="M5" s="406" t="n"/>
      <c r="N5" s="406" t="n"/>
      <c r="O5" s="238" t="inlineStr">
        <is>
          <t>措施实施
Implementation of measures</t>
        </is>
      </c>
      <c r="P5" s="238" t="inlineStr">
        <is>
          <t>S</t>
        </is>
      </c>
      <c r="Q5" s="238" t="inlineStr">
        <is>
          <t>O</t>
        </is>
      </c>
      <c r="R5" s="238" t="inlineStr">
        <is>
          <t>D</t>
        </is>
      </c>
      <c r="S5" s="238" t="inlineStr">
        <is>
          <t>RPN</t>
        </is>
      </c>
    </row>
    <row r="6" ht="135.75" customFormat="1" customHeight="1" s="105">
      <c r="A6" s="144" t="inlineStr">
        <is>
          <t>1</t>
        </is>
      </c>
      <c r="B6" s="287" t="inlineStr">
        <is>
          <t>清洗
cleaning</t>
        </is>
      </c>
      <c r="C6" s="330" t="inlineStr">
        <is>
          <t xml:space="preserve">
1.清洗烘干后的物料表面干净，光洁，无残留杂质，无水渍
2.初始污染菌符合要求
3.清洗后的纯化水电导率、PH、TOC符合纯化水标准
1. The surface of the material after washing and drying is clean, smooth, without residual impurities, no water stains
2. The initial contamination bacteria meet the requirements
3. Conductivity, PH, TOC of purified water after cleaning meets the standard of purified water.</t>
        </is>
      </c>
      <c r="D6" s="330" t="inlineStr">
        <is>
          <t>1.表面有杂质或水渍残留
2.初始污染菌超标
1. Surface with impurities or water residue
2. Initial contamination bacteria exceed the standard</t>
        </is>
      </c>
      <c r="E6" s="330" t="inlineStr">
        <is>
          <t>1、可能导致病人感染
1. May lead to patient infections</t>
        </is>
      </c>
      <c r="F6" s="325" t="n">
        <v>3</v>
      </c>
      <c r="G6" s="330" t="inlineStr">
        <is>
          <t>1.清洗设备损坏，导致清洗效果下降
2.一次清洗的物料超出规定的数量
3.清洗参数不合理
1. Cleaning equipment damage, resulting in reduced cleaning effect
2. A cleaning material exceeds the specified quantity
3. Cleaning parameters are not reasonable</t>
        </is>
      </c>
      <c r="H6" s="325" t="n">
        <v>3</v>
      </c>
      <c r="I6" s="330" t="inlineStr">
        <is>
          <t>1.设备使用前进行点检
2.工艺规程中明确最大清洗数量
3.工艺规程中明确清洗参数及注意事项
1. Point inspection before the use of equipment
2. Specify the maximum number of cleaning in the process regulations
3. Clear cleaning parameters and precautions in the process regulations</t>
        </is>
      </c>
      <c r="J6" s="330" t="inlineStr">
        <is>
          <t>1.目视外观；使用无尘布擦拭，观察无尘布有无脏污
2.在清洗确认中展开酸碱度检测和初始污染菌检测。
1. Visualize the appearance; use a dust-free cloth to wipe and observe whether the dust-free cloth is dirty or not
2. Expand the acidity and alkalinity test and initial contamination bacteria test in the cleaning confirmation.</t>
        </is>
      </c>
      <c r="K6" s="325" t="n">
        <v>4</v>
      </c>
      <c r="L6" s="325" t="n">
        <v>24</v>
      </c>
      <c r="M6" s="292" t="inlineStr">
        <is>
          <t>关键工序
特殊工序
进行清洗验证或清洗评估
Critical Processes
Specialized processes
Perform cleaning validation or cleaning assessment</t>
        </is>
      </c>
      <c r="N6" s="292" t="inlineStr">
        <is>
          <t>可视化研发部
Visualization R&amp;D Department</t>
        </is>
      </c>
      <c r="O6" s="189" t="inlineStr">
        <is>
          <t>MTN-1007620一次性胰胆成像导管OQ评估报告
MTN-1007620 OQ assessment Report for Single-use Video Pancreaticobiliary Scope</t>
        </is>
      </c>
      <c r="P6" s="190" t="n">
        <v>3</v>
      </c>
      <c r="Q6" s="190" t="n">
        <v>1</v>
      </c>
      <c r="R6" s="190" t="n">
        <v>4</v>
      </c>
      <c r="S6" s="190" t="n">
        <v>12</v>
      </c>
    </row>
    <row r="7" ht="102" customFormat="1" customHeight="1" s="407">
      <c r="A7" s="289" t="inlineStr">
        <is>
          <t>2</t>
        </is>
      </c>
      <c r="B7" s="292" t="inlineStr">
        <is>
          <t>散热片组装
Heat sink assembly</t>
        </is>
      </c>
      <c r="C7" s="292" t="inlineStr">
        <is>
          <t>光学性能满足要求Optical performance meets requirements</t>
        </is>
      </c>
      <c r="D7" s="154" t="inlineStr">
        <is>
          <t>1.集束管未到达指定位置；
2.LED灯损坏
3.LED松动
1. The cluster tube does not reach the designated position;
2.LED is damaged
3.LED loose</t>
        </is>
      </c>
      <c r="E7" s="154" t="inlineStr">
        <is>
          <t>1.光通量无法满足；
2.LED不亮或者灯光颜色不正常
1. Luminous flux cannot be satisfied;
2.LED does not light up or the light color is not normal</t>
        </is>
      </c>
      <c r="F7" s="157" t="n">
        <v>3</v>
      </c>
      <c r="G7" s="154" t="inlineStr">
        <is>
          <t>1.集束管未安装到底；    
2.LED安装时受损
3.螺纹松动
1. The cluster tube is not installed to the bottom;    
2.LED damaged during installation
3. Loose threads</t>
        </is>
      </c>
      <c r="H7" s="157" t="n">
        <v>2</v>
      </c>
      <c r="I7" s="154" t="inlineStr">
        <is>
          <t>1.安装后确认集束管台阶面是否与散热片端面贴合；
2.LED安装前检查灯粉无脱落/不亮现象，安装过程中避免接触灯粉位置3.安装前确认螺纹要拧紧
1. After installation, make sure that the step surface of the cluster tube fits the end surface of the heat sink;
2. Check that the lamp powder does not fall off/not bright before LED installation, and avoid contacting the lamp powder position during installation 3. Confirm that the threads should be tightened before installation</t>
        </is>
      </c>
      <c r="J7" s="154" t="inlineStr">
        <is>
          <t>1.目视全检；
2.连接成像控制器，确认LED灯板发光是否正常；
3.检查灯板，螺钉有无晃动
1. Visualize the whole inspection;
2. Connect the imaging controller to confirm that the LED light board emits light normally;
3. Check the light board, screws with or without shaking</t>
        </is>
      </c>
      <c r="K7" s="157" t="n">
        <v>2</v>
      </c>
      <c r="L7" s="190" t="n">
        <v>12</v>
      </c>
      <c r="M7" s="292" t="inlineStr">
        <is>
          <t>无
none</t>
        </is>
      </c>
      <c r="N7" s="190" t="inlineStr">
        <is>
          <t>/</t>
        </is>
      </c>
      <c r="O7" s="190" t="inlineStr">
        <is>
          <t>/</t>
        </is>
      </c>
      <c r="P7" s="190" t="inlineStr">
        <is>
          <t>/</t>
        </is>
      </c>
      <c r="Q7" s="190" t="inlineStr">
        <is>
          <t>/</t>
        </is>
      </c>
      <c r="R7" s="190" t="inlineStr">
        <is>
          <t>/</t>
        </is>
      </c>
      <c r="S7" s="190" t="inlineStr">
        <is>
          <t>/</t>
        </is>
      </c>
    </row>
    <row r="8" ht="71.25" customFormat="1" customHeight="1" s="105">
      <c r="A8" s="293" t="inlineStr">
        <is>
          <t>3</t>
        </is>
      </c>
      <c r="B8" s="189" t="inlineStr">
        <is>
          <t>模组地线焊接
Module Ground Soldering</t>
        </is>
      </c>
      <c r="C8" s="292" t="inlineStr">
        <is>
          <t>1.产品能正常显示图像
2.模组线焊接处UV胶覆盖完全
1.The product can display the image normally
2.The UV adhesive covers the welding of the module line completely.</t>
        </is>
      </c>
      <c r="D8" s="154" t="inlineStr">
        <is>
          <t>产品不能成像，或成像异常
Product cannot be imaged, or is imaged abnormally</t>
        </is>
      </c>
      <c r="E8" s="154" t="inlineStr">
        <is>
          <t>1.下道工序中断       2.产品不能成像，用户非常不满
1. the next process is interrupted    2. the product cannot be imaged and the user is very dissatisfied</t>
        </is>
      </c>
      <c r="F8" s="157" t="n">
        <v>3</v>
      </c>
      <c r="G8" s="154" t="inlineStr">
        <is>
          <t xml:space="preserve">
1.镜头线焊接有虚焊，焊接线序错误，焊接手法不明确
2.剥线损伤线芯
1. Lens wire welding with false welding, welding line sequence error, welding method is not clear
2. Stripping damage to the core</t>
        </is>
      </c>
      <c r="H8" s="157" t="n">
        <v>2</v>
      </c>
      <c r="I8" s="154" t="inlineStr">
        <is>
          <t>工艺明确焊接线序、焊接后的检查方法，同时明确焊接操作
The process specifies the welding line sequence, the inspection method after welding, and also specifies the welding operation.</t>
        </is>
      </c>
      <c r="J8" s="154" t="inlineStr">
        <is>
          <t>将焊接后的插接头连接图像测试工装，观察是否有图像、是否异常，目视全检
Connect the welded plug connector to the image test tooling, observe whether there is an image, whether there is any abnormality, visual full inspection</t>
        </is>
      </c>
      <c r="K8" s="157" t="n">
        <v>2</v>
      </c>
      <c r="L8" s="190" t="n">
        <v>12</v>
      </c>
      <c r="M8" s="292" t="inlineStr">
        <is>
          <t>关键工序
Key processes</t>
        </is>
      </c>
      <c r="N8" s="292" t="inlineStr">
        <is>
          <t>可视化研发部
Visualization R&amp;D Department</t>
        </is>
      </c>
      <c r="O8" s="189" t="inlineStr">
        <is>
          <t>MTN-1007620一次性胰胆成像导管OQ评估报告
MTN-1007620 OQ assessment Report for Single-use Video Pancreaticobiliary Scope</t>
        </is>
      </c>
      <c r="P8" s="190" t="n">
        <v>3</v>
      </c>
      <c r="Q8" s="190" t="n">
        <v>1</v>
      </c>
      <c r="R8" s="190" t="n">
        <v>2</v>
      </c>
      <c r="S8" s="190" t="n">
        <v>6</v>
      </c>
    </row>
    <row r="9" ht="48" customFormat="1" customHeight="1" s="105">
      <c r="A9" s="408" t="n"/>
      <c r="B9" s="408" t="n"/>
      <c r="C9" s="406" t="n"/>
      <c r="D9" s="154" t="inlineStr">
        <is>
          <t>焊接处无UV胶覆盖或覆盖量很少
UV胶未固化
No or very little UV adhesive coverage on the weld.
UV adhesive not cured</t>
        </is>
      </c>
      <c r="E9" s="406" t="n"/>
      <c r="F9" s="157" t="n">
        <v>2</v>
      </c>
      <c r="G9" s="154" t="inlineStr">
        <is>
          <t>文件未规定UV胶覆盖状态
Documentation does not specify UV adhesive coverage status</t>
        </is>
      </c>
      <c r="H9" s="406" t="n"/>
      <c r="I9" s="154" t="inlineStr">
        <is>
          <t>工艺明确UV胶覆盖要求，选用合理的固化参数
Process clear UV adhesive coverage requirements, the selection of reasonable curing parameters</t>
        </is>
      </c>
      <c r="J9" s="154" t="inlineStr">
        <is>
          <t>目视全检，并手触UV胶覆盖处不发粘
Visual inspection and hand-touching of the UV adhesive cover for non-stickiness</t>
        </is>
      </c>
      <c r="K9" s="157" t="n">
        <v>2</v>
      </c>
      <c r="L9" s="190" t="n">
        <v>8</v>
      </c>
      <c r="M9" s="292" t="inlineStr">
        <is>
          <t>无
none</t>
        </is>
      </c>
      <c r="N9" s="190" t="inlineStr">
        <is>
          <t>/</t>
        </is>
      </c>
      <c r="O9" s="190" t="inlineStr">
        <is>
          <t>/</t>
        </is>
      </c>
      <c r="P9" s="190" t="inlineStr">
        <is>
          <t>/</t>
        </is>
      </c>
      <c r="Q9" s="190" t="inlineStr">
        <is>
          <t>/</t>
        </is>
      </c>
      <c r="R9" s="190" t="inlineStr">
        <is>
          <t>/</t>
        </is>
      </c>
      <c r="S9" s="190" t="inlineStr">
        <is>
          <t>/</t>
        </is>
      </c>
    </row>
    <row r="10" ht="48" customFormat="1" customHeight="1" s="105">
      <c r="A10" s="406" t="n"/>
      <c r="B10" s="406" t="n"/>
      <c r="C10" s="123" t="inlineStr">
        <is>
          <t>编制网管、限位块与TYPC接通
Preparation of reticule, limit block and TYPC connection</t>
        </is>
      </c>
      <c r="D10" s="154" t="inlineStr">
        <is>
          <t>虚焊或热缩管未套紧
False soldering or heat shrink tubing not tightened</t>
        </is>
      </c>
      <c r="E10" s="297" t="inlineStr">
        <is>
          <t>输出视频信号不稳定
Unstable output video signal</t>
        </is>
      </c>
      <c r="F10" s="157" t="n">
        <v>2</v>
      </c>
      <c r="G10" s="154" t="inlineStr">
        <is>
          <t>出现虚焊现象
Void soldering occurs</t>
        </is>
      </c>
      <c r="H10" s="299" t="n">
        <v>1</v>
      </c>
      <c r="I10" s="154" t="inlineStr">
        <is>
          <t>增加自检：轻拉不脱落，热缩护套管覆盖焊接位置且无滑动
Increased self-testing: light pulling does not detach, heat-shrinkable tubing covers the weld position without slipping</t>
        </is>
      </c>
      <c r="J10" s="154" t="inlineStr">
        <is>
          <t>全检焊接位置是否全覆盖，热缩管不滑动，轻拉不脱落
Full inspection of the welding position for full coverage, heat shrink tubing does not slide, light pull does not fall off</t>
        </is>
      </c>
      <c r="K10" s="157" t="n">
        <v>2</v>
      </c>
      <c r="L10" s="190" t="n">
        <v>4</v>
      </c>
      <c r="M10" s="292" t="inlineStr">
        <is>
          <t>无
none</t>
        </is>
      </c>
      <c r="N10" s="190" t="inlineStr">
        <is>
          <t>/</t>
        </is>
      </c>
      <c r="O10" s="190" t="inlineStr">
        <is>
          <t>/</t>
        </is>
      </c>
      <c r="P10" s="190" t="inlineStr">
        <is>
          <t>/</t>
        </is>
      </c>
      <c r="Q10" s="190" t="inlineStr">
        <is>
          <t>/</t>
        </is>
      </c>
      <c r="R10" s="190" t="inlineStr">
        <is>
          <t>/</t>
        </is>
      </c>
      <c r="S10" s="190" t="inlineStr">
        <is>
          <t>/</t>
        </is>
      </c>
    </row>
    <row r="11" ht="50.25" customFormat="1" customHeight="1" s="407">
      <c r="A11" s="293" t="inlineStr">
        <is>
          <t>4</t>
        </is>
      </c>
      <c r="B11" s="292" t="inlineStr">
        <is>
          <t xml:space="preserve">下壳组件安装
Lower Shell Assembly Installation
</t>
        </is>
      </c>
      <c r="C11" s="292" t="inlineStr">
        <is>
          <t>1.器械钳道能通过对应规格导丝
2.吸引阀工作正常，吸引，注液不泄露
3.液路管连接的阀体、吸引管、Y型三通安装位置正确
4.成像导管相对手柄不转动
1. The instrument clamp channel can pass through the corresponding specification guidewire.
2. The suction valve is working properly, and there is no leakage of suction and liquid injection.
3. The valve body, suction tube and Y-type tee connected to the liquid line are installed in the correct position.
4. The imaging catheter does not rotate relative to the handle.</t>
        </is>
      </c>
      <c r="D11" s="154" t="inlineStr">
        <is>
          <t>器械腔道变形
Instrument lumen deformation</t>
        </is>
      </c>
      <c r="E11" s="154" t="inlineStr">
        <is>
          <t>器械无法顺利通过
The instruments can't get through.</t>
        </is>
      </c>
      <c r="F11" s="157" t="n">
        <v>3</v>
      </c>
      <c r="G11" s="154" t="inlineStr">
        <is>
          <t>器械腔道与Y型三通连接处挤压变形
Extruded deformation of instrument lumen and Y-type tee connection</t>
        </is>
      </c>
      <c r="H11" s="157" t="n">
        <v>2</v>
      </c>
      <c r="I11" s="154" t="inlineStr">
        <is>
          <t>安装时用对应规格的芯轴插入钳道管支撑
When installing, insert an arbor of the corresponding size into the support of the clamp pipe.</t>
        </is>
      </c>
      <c r="J11" s="154" t="inlineStr">
        <is>
          <t>安装后用对应规格导丝全检
Full inspection with corresponding specification guidewire after installation</t>
        </is>
      </c>
      <c r="K11" s="157" t="n">
        <v>2</v>
      </c>
      <c r="L11" s="190" t="n">
        <v>12</v>
      </c>
      <c r="M11" s="292" t="inlineStr">
        <is>
          <t>无
none</t>
        </is>
      </c>
      <c r="N11" s="190" t="inlineStr">
        <is>
          <t>/</t>
        </is>
      </c>
      <c r="O11" s="190" t="inlineStr">
        <is>
          <t>/</t>
        </is>
      </c>
      <c r="P11" s="190" t="inlineStr">
        <is>
          <t>/</t>
        </is>
      </c>
      <c r="Q11" s="190" t="inlineStr">
        <is>
          <t>/</t>
        </is>
      </c>
      <c r="R11" s="190" t="inlineStr">
        <is>
          <t>/</t>
        </is>
      </c>
      <c r="S11" s="190" t="inlineStr">
        <is>
          <t>/</t>
        </is>
      </c>
    </row>
    <row r="12" ht="118.5" customFormat="1" customHeight="1" s="407">
      <c r="A12" s="406" t="n"/>
      <c r="B12" s="406" t="n"/>
      <c r="C12" s="406" t="n"/>
      <c r="D12" s="154" t="inlineStr">
        <is>
          <t>1.吸引和注液时泄漏
2.液路管扭曲严重，影响吸液量
3.成像导管在手柄上松动，可转动
1. Leakage during suction and injection
2. Liquid line tube is badly twisted, affecting suction volume
3. Imaging catheter is loose on the handle and can be rotated</t>
        </is>
      </c>
      <c r="E12" s="154" t="inlineStr">
        <is>
          <t>1.可能导致病人感染
2.吸引功能下降
3.手柄与成像导管旋转同步性不好
1. May lead to patient infection
2. Decreased suction function
3. Poor synchronization of handle and imaging catheter rotation</t>
        </is>
      </c>
      <c r="F12" s="157" t="n">
        <v>4</v>
      </c>
      <c r="G12" s="154" t="inlineStr">
        <is>
          <t>1.胶水未涂到位，或固化参数不合理
2.液路管两侧零件安装相对位置不正确，液路管长度过长
3.压板未压紧
1. The glue is not coated in place, or the curing parameters are unreasonable.
2. The relative positions of the parts installed on both sides of the liquid line pipe are not correct, and the length of the liquid line pipe is too long.
3. Pressure plate is not pressed tightly</t>
        </is>
      </c>
      <c r="H12" s="157" t="n">
        <v>2</v>
      </c>
      <c r="I12" s="154" t="inlineStr">
        <is>
          <t>1.固化后确认胶水是否整圈涂覆上去，选用合理的固化参数
2.明确液路管两侧零件的方向，制定合理液路管的尺寸
3.螺钉安装至旋不动为止，并在导管与压板贴合端面涂UV胶固化
1. After curing, make sure the glue is coated on the whole circle, and choose reasonable curing parameters.
2. Clearly define the direction of the parts on both sides of the liquid line pipe, and make reasonable size of the liquid line pipe.
3. Install the screws until they do not move, and apply UV adhesive to the end surface of the tube and the pressure plate for curing.</t>
        </is>
      </c>
      <c r="J12" s="154" t="inlineStr">
        <is>
          <t>1.气密性检测
2.目视液路管有无严重扭曲弯折现象
3.安装前用钢尺确认液路管尺寸
4.轻微转动导管，确认导管相对手柄不转动
1. Gas tightness test
2. Visual inspection of the liquid line pipe for serious twisting and bending phenomenon
3. Confirm the size of the liquid line pipe with a steel ruler before installation.
4. Slightly rotate the tube to make sure that the tube does not rotate relative to the handle.</t>
        </is>
      </c>
      <c r="K12" s="157" t="n">
        <v>2</v>
      </c>
      <c r="L12" s="190" t="n">
        <v>8</v>
      </c>
      <c r="M12" s="292" t="inlineStr">
        <is>
          <t>无
none</t>
        </is>
      </c>
      <c r="N12" s="190" t="inlineStr">
        <is>
          <t>/</t>
        </is>
      </c>
      <c r="O12" s="190" t="inlineStr">
        <is>
          <t>/</t>
        </is>
      </c>
      <c r="P12" s="190" t="inlineStr">
        <is>
          <t>/</t>
        </is>
      </c>
      <c r="Q12" s="190" t="inlineStr">
        <is>
          <t>/</t>
        </is>
      </c>
      <c r="R12" s="190" t="inlineStr">
        <is>
          <t>/</t>
        </is>
      </c>
      <c r="S12" s="190" t="inlineStr">
        <is>
          <t>/</t>
        </is>
      </c>
    </row>
    <row r="13" ht="27.75" customFormat="1" customHeight="1" s="105">
      <c r="A13" s="232" t="n"/>
      <c r="B13" s="396" t="n"/>
      <c r="C13" s="396" t="n"/>
      <c r="D13" s="397" t="n"/>
      <c r="E13" s="294">
        <f>封面!E1</f>
        <v/>
      </c>
      <c r="F13" s="396" t="n"/>
      <c r="G13" s="396" t="n"/>
      <c r="H13" s="396" t="n"/>
      <c r="I13" s="396" t="n"/>
      <c r="J13" s="396" t="n"/>
      <c r="K13" s="396" t="n"/>
      <c r="L13" s="397" t="n"/>
      <c r="M13" s="113" t="inlineStr">
        <is>
          <t>File No.           
文件编号</t>
        </is>
      </c>
      <c r="N13" s="263">
        <f>封面!L1</f>
        <v/>
      </c>
      <c r="O13" s="405" t="n"/>
      <c r="P13" s="405" t="n"/>
      <c r="Q13" s="405" t="n"/>
      <c r="R13" s="405" t="n"/>
      <c r="S13" s="399" t="n"/>
    </row>
    <row r="14" ht="27.75" customFormat="1" customHeight="1" s="105">
      <c r="A14" s="400" t="n"/>
      <c r="D14" s="401" t="n"/>
      <c r="E14" s="400" t="n"/>
      <c r="L14" s="401" t="n"/>
      <c r="M14" s="113" t="inlineStr">
        <is>
          <t>Rev:                
版本</t>
        </is>
      </c>
      <c r="N14" s="263">
        <f>封面!L2</f>
        <v/>
      </c>
      <c r="O14" s="405" t="n"/>
      <c r="P14" s="405" t="n"/>
      <c r="Q14" s="405" t="n"/>
      <c r="R14" s="405" t="n"/>
      <c r="S14" s="399" t="n"/>
    </row>
    <row r="15" ht="31.5" customFormat="1" customHeight="1" s="105">
      <c r="A15" s="402" t="n"/>
      <c r="B15" s="403" t="n"/>
      <c r="C15" s="403" t="n"/>
      <c r="D15" s="404" t="n"/>
      <c r="E15" s="402" t="n"/>
      <c r="F15" s="403" t="n"/>
      <c r="G15" s="403" t="n"/>
      <c r="H15" s="403" t="n"/>
      <c r="I15" s="403" t="n"/>
      <c r="J15" s="403" t="n"/>
      <c r="K15" s="403" t="n"/>
      <c r="L15" s="404" t="n"/>
      <c r="M15" s="114" t="inlineStr">
        <is>
          <t>Page     of            
第  页/共  页</t>
        </is>
      </c>
      <c r="N15" s="264" t="inlineStr">
        <is>
          <t>第 4 页 / 共 14 页</t>
        </is>
      </c>
      <c r="O15" s="405" t="n"/>
      <c r="P15" s="405" t="n"/>
      <c r="Q15" s="405" t="n"/>
      <c r="R15" s="405" t="n"/>
      <c r="S15" s="399" t="n"/>
    </row>
    <row r="16" ht="26" customFormat="1" customHeight="1" s="105">
      <c r="A16" s="237" t="inlineStr">
        <is>
          <t>序号
N0.</t>
        </is>
      </c>
      <c r="B16" s="237" t="inlineStr">
        <is>
          <t>过程名称
Process Name</t>
        </is>
      </c>
      <c r="C16" s="237" t="inlineStr">
        <is>
          <t>功能要求
Functional requirements</t>
        </is>
      </c>
      <c r="D16" s="237" t="inlineStr">
        <is>
          <t>潜在失效模式
FMEA</t>
        </is>
      </c>
      <c r="E16" s="237" t="inlineStr">
        <is>
          <t>潜在失效后果
Potential Effect of Failure</t>
        </is>
      </c>
      <c r="F16" s="237" t="inlineStr">
        <is>
          <t>严重度
severity</t>
        </is>
      </c>
      <c r="G16" s="237" t="inlineStr">
        <is>
          <t>潜在失效起因/机理
Potential failure causes/mechanisms</t>
        </is>
      </c>
      <c r="H16" s="237" t="inlineStr">
        <is>
          <t>频度
frequency</t>
        </is>
      </c>
      <c r="I16" s="237" t="inlineStr">
        <is>
          <t>现行过程控制
Current process control</t>
        </is>
      </c>
      <c r="J16" s="399" t="n"/>
      <c r="K16" s="237" t="inlineStr">
        <is>
          <t>探测度
detectivity</t>
        </is>
      </c>
      <c r="L16" s="237" t="inlineStr">
        <is>
          <t>风险顺序数
Risk order number</t>
        </is>
      </c>
      <c r="M16" s="237" t="inlineStr">
        <is>
          <t>建议的纠正/预防措施
Suggested corrective/preventive measures</t>
        </is>
      </c>
      <c r="N16" s="237" t="inlineStr">
        <is>
          <t>责任部门
Dept.</t>
        </is>
      </c>
      <c r="O16" s="237" t="inlineStr">
        <is>
          <t>改进后 
 Improved</t>
        </is>
      </c>
      <c r="P16" s="405" t="n"/>
      <c r="Q16" s="405" t="n"/>
      <c r="R16" s="405" t="n"/>
      <c r="S16" s="399" t="n"/>
    </row>
    <row r="17" ht="13" customFormat="1" customHeight="1" s="105">
      <c r="A17" s="406" t="n"/>
      <c r="B17" s="406" t="n"/>
      <c r="C17" s="406" t="n"/>
      <c r="D17" s="406" t="n"/>
      <c r="E17" s="406" t="n"/>
      <c r="F17" s="238" t="inlineStr">
        <is>
          <t>S</t>
        </is>
      </c>
      <c r="G17" s="406" t="n"/>
      <c r="H17" s="238" t="inlineStr">
        <is>
          <t>O</t>
        </is>
      </c>
      <c r="I17" s="238" t="inlineStr">
        <is>
          <t>预防
 Prevent</t>
        </is>
      </c>
      <c r="J17" s="238" t="inlineStr">
        <is>
          <t>探测
 Detection</t>
        </is>
      </c>
      <c r="K17" s="238" t="inlineStr">
        <is>
          <t>D</t>
        </is>
      </c>
      <c r="L17" s="238" t="inlineStr">
        <is>
          <t>RPN</t>
        </is>
      </c>
      <c r="M17" s="406" t="n"/>
      <c r="N17" s="406" t="n"/>
      <c r="O17" s="238" t="inlineStr">
        <is>
          <t>措施实施
Implementation of measures</t>
        </is>
      </c>
      <c r="P17" s="238" t="inlineStr">
        <is>
          <t>S</t>
        </is>
      </c>
      <c r="Q17" s="238" t="inlineStr">
        <is>
          <t>O</t>
        </is>
      </c>
      <c r="R17" s="238" t="inlineStr">
        <is>
          <t>D</t>
        </is>
      </c>
      <c r="S17" s="238" t="inlineStr">
        <is>
          <t>RPN</t>
        </is>
      </c>
    </row>
    <row r="18" ht="129.75" customFormat="1" customHeight="1" s="105">
      <c r="A18" s="289" t="inlineStr">
        <is>
          <t>5</t>
        </is>
      </c>
      <c r="B18" s="292" t="inlineStr">
        <is>
          <t>转轮组装
Rotor assembly</t>
        </is>
      </c>
      <c r="C18" s="292" t="inlineStr">
        <is>
          <t>1.牵引丝与固定头连接力≥15N
2.转向无空行程；3.中位情况下外包覆层无严重褶皱（保证相应规格的量具测量满足要求）
4、转向方向正确，角度合格
1. Traction wire and fixed head connection force ≥ 15N
2. Steering without empty stroke; 3. No serious wrinkles in the outer cladding layer in the case of neutral (to ensure that the corresponding specifications of the gauge measurement to meet the requirements)
4. Correct steering direction and qualified angle</t>
        </is>
      </c>
      <c r="D18" s="292" t="inlineStr">
        <is>
          <t>1、固定管脱落
2、牵引丝未绷紧；3.蛇骨受压严重
1. The fixation tube is dislodged
2. Traction wire not taut; 3. Serpentine bone severely compressed</t>
        </is>
      </c>
      <c r="E18" s="292" t="inlineStr">
        <is>
          <t>1.下道工序中断       2.产品转向功能失效，用户非常不满；3.弯曲部外径超差。
1. Interruption of the next process 2. Failure of the steering function of the product, the user is very dissatisfied; 3. Bending part of the outer diameter exceeds the difference.</t>
        </is>
      </c>
      <c r="F18" s="190" t="n">
        <v>3</v>
      </c>
      <c r="G18" s="154" t="inlineStr">
        <is>
          <t>1.铆接直径不对或者无按压到位；
2.张紧螺钉盘的牵引丝过少；
3.张紧螺钉盘的牵引丝过多；
4.反向螺母未拧紧
1. Incorrect riveting diameter or no press in place;
2. Too few traction wires in the tensioning screw disk;
3. Too much traction wire on the tensioning screw disk;
4. The reverse nut is not tightened.</t>
        </is>
      </c>
      <c r="H18" s="190" t="n">
        <v>2</v>
      </c>
      <c r="I18" s="292" t="inlineStr">
        <is>
          <t>1.通过验证选取合适的参数，并要求每次启动时进行核对、点检
2和3设计专用工装 
4.安装反向螺母直到扳手拧不动为止
1. Select the appropriate parameters through verification and require checking and spot-checking at each startup
2 and 3 design special tooling 
4. Installation of the reverse nut until the wrench is not able to unscrew it.</t>
        </is>
      </c>
      <c r="J18" s="292" t="inlineStr">
        <is>
          <t xml:space="preserve">
1.每次使用前点检铆接钳的铆接直径
2.使用拉力机测试固定管和牵引丝的首件拉力
3.确认反向螺母是否锁紧
1. Check the riveting diameter of riveting pliers before each use.
2. Use the tension machine to test the first piece of tension of the fixed tube and traction wire
3. Make sure the reverse nut is locked.</t>
        </is>
      </c>
      <c r="K18" s="190" t="n">
        <v>4</v>
      </c>
      <c r="L18" s="190" t="n">
        <v>24</v>
      </c>
      <c r="M18" s="292" t="inlineStr">
        <is>
          <t>关键工序
特殊工序
进行铆接确认
Critical Processes
Special Processes
Confirmation of riveting</t>
        </is>
      </c>
      <c r="N18" s="292" t="inlineStr">
        <is>
          <t>可视化研发部
Visualization R&amp;D Department</t>
        </is>
      </c>
      <c r="O18" s="189" t="inlineStr">
        <is>
          <t>MTN-1007620一次性胰胆成像导管OQ评估报告
MTN-1007620 OQ assessment Report for Single-use Video Pancreaticobiliary Scope</t>
        </is>
      </c>
      <c r="P18" s="190" t="n">
        <v>3</v>
      </c>
      <c r="Q18" s="190" t="n">
        <v>1</v>
      </c>
      <c r="R18" s="190" t="n">
        <v>4</v>
      </c>
      <c r="S18" s="190" t="n">
        <v>12</v>
      </c>
    </row>
    <row r="19" ht="41.25" customFormat="1" customHeight="1" s="409">
      <c r="A19" s="293" t="inlineStr">
        <is>
          <t>6</t>
        </is>
      </c>
      <c r="B19" s="189" t="inlineStr">
        <is>
          <t>上壳手柄组装
Upper shell handle assembly</t>
        </is>
      </c>
      <c r="C19" s="189" t="inlineStr">
        <is>
          <t>1、手柄能控制远端软头上下转动
2、按键帽回弹正常3、上下壳美工缝均匀，上下壳无明显间隙
1, the handle can control the distal end of the soft head up and down rotation
2、Key cap rebound normal 3、Upper and lower shell without obvious gap</t>
        </is>
      </c>
      <c r="D19" s="292" t="inlineStr">
        <is>
          <t>手柄不能控制远端软头上下转动
Handle does not control up and down rotation of the distal soft head</t>
        </is>
      </c>
      <c r="E19" s="292" t="inlineStr">
        <is>
          <t>产品性能下降，用户非常不满
Product performance degradation, users are very dissatisfied</t>
        </is>
      </c>
      <c r="F19" s="190" t="n">
        <v>3</v>
      </c>
      <c r="G19" s="292" t="inlineStr">
        <is>
          <t>螺钉未安装到位
Screws not in place</t>
        </is>
      </c>
      <c r="H19" s="190" t="n">
        <v>2</v>
      </c>
      <c r="I19" s="292" t="inlineStr">
        <is>
          <t>工艺未明确螺钉安装位置
Process does not specify screw mounting locations</t>
        </is>
      </c>
      <c r="J19" s="292" t="inlineStr">
        <is>
          <t>目视全检螺钉是否埋入拨杆，并转动手轮检查
Visually check that the full inspection screws are buried in the toggle and turn the handwheel to check</t>
        </is>
      </c>
      <c r="K19" s="190" t="n">
        <v>2</v>
      </c>
      <c r="L19" s="190" t="n">
        <v>12</v>
      </c>
      <c r="M19" s="292" t="inlineStr">
        <is>
          <t>无
none</t>
        </is>
      </c>
      <c r="N19" s="190" t="inlineStr">
        <is>
          <t>/</t>
        </is>
      </c>
      <c r="O19" s="190" t="inlineStr">
        <is>
          <t>/</t>
        </is>
      </c>
      <c r="P19" s="190" t="inlineStr">
        <is>
          <t>/</t>
        </is>
      </c>
      <c r="Q19" s="190" t="inlineStr">
        <is>
          <t>/</t>
        </is>
      </c>
      <c r="R19" s="190" t="inlineStr">
        <is>
          <t>/</t>
        </is>
      </c>
      <c r="S19" s="190" t="inlineStr">
        <is>
          <t>/</t>
        </is>
      </c>
    </row>
    <row r="20" ht="39" customFormat="1" customHeight="1" s="105">
      <c r="A20" s="408" t="n"/>
      <c r="B20" s="408" t="n"/>
      <c r="C20" s="408" t="n"/>
      <c r="D20" s="292" t="inlineStr">
        <is>
          <t>按键不能回弹
Buttons don't return</t>
        </is>
      </c>
      <c r="E20" s="292" t="inlineStr">
        <is>
          <t>产品截图/冻结功能失效，用户非常不满
Product screenshot/freeze function not working, users very upset</t>
        </is>
      </c>
      <c r="F20" s="190" t="n">
        <v>3</v>
      </c>
      <c r="G20" s="292" t="inlineStr">
        <is>
          <t>PCB板装配位置不正确
Incorrect PCB board assembly position</t>
        </is>
      </c>
      <c r="H20" s="190" t="n">
        <v>1</v>
      </c>
      <c r="I20" s="292" t="inlineStr">
        <is>
          <t>工艺明确安装位置
The process specifies the location of the installation</t>
        </is>
      </c>
      <c r="J20" s="292" t="inlineStr">
        <is>
          <t>连接成像控制器，确认冻结/截图功能是否正常
Connect the imaging controller and verify that the freeze/screenshot function is working properly</t>
        </is>
      </c>
      <c r="K20" s="190" t="n">
        <v>2</v>
      </c>
      <c r="L20" s="190" t="n">
        <v>6</v>
      </c>
      <c r="M20" s="292" t="inlineStr">
        <is>
          <t>无
none</t>
        </is>
      </c>
      <c r="N20" s="190" t="inlineStr">
        <is>
          <t>/</t>
        </is>
      </c>
      <c r="O20" s="190" t="inlineStr">
        <is>
          <t>/</t>
        </is>
      </c>
      <c r="P20" s="190" t="inlineStr">
        <is>
          <t>/</t>
        </is>
      </c>
      <c r="Q20" s="190" t="inlineStr">
        <is>
          <t>/</t>
        </is>
      </c>
      <c r="R20" s="190" t="inlineStr">
        <is>
          <t>/</t>
        </is>
      </c>
      <c r="S20" s="190" t="inlineStr">
        <is>
          <t>/</t>
        </is>
      </c>
    </row>
    <row r="21" ht="39" customFormat="1" customHeight="1" s="105">
      <c r="A21" s="406" t="n"/>
      <c r="B21" s="406" t="n"/>
      <c r="C21" s="406" t="n"/>
      <c r="D21" s="292" t="inlineStr">
        <is>
          <t>上下壳间隙过大
Excessive clearance between upper and lower housing</t>
        </is>
      </c>
      <c r="E21" s="292" t="inlineStr">
        <is>
          <t>客户不满意
Customer dissatisfaction</t>
        </is>
      </c>
      <c r="F21" s="190" t="n">
        <v>2</v>
      </c>
      <c r="G21" s="292" t="inlineStr">
        <is>
          <t>上壳未安装到位
Upper housing not in place</t>
        </is>
      </c>
      <c r="H21" s="190" t="n">
        <v>2</v>
      </c>
      <c r="I21" s="292" t="inlineStr">
        <is>
          <t>工艺增加自检
Process increase self-testing</t>
        </is>
      </c>
      <c r="J21" s="292" t="inlineStr">
        <is>
          <t>目视全检
visual inspection</t>
        </is>
      </c>
      <c r="K21" s="190" t="n">
        <v>2</v>
      </c>
      <c r="L21" s="190" t="n">
        <v>8</v>
      </c>
      <c r="M21" s="292" t="inlineStr">
        <is>
          <t>无
none</t>
        </is>
      </c>
      <c r="N21" s="190" t="inlineStr">
        <is>
          <t>/</t>
        </is>
      </c>
      <c r="O21" s="190" t="inlineStr">
        <is>
          <t>/</t>
        </is>
      </c>
      <c r="P21" s="190" t="inlineStr">
        <is>
          <t>/</t>
        </is>
      </c>
      <c r="Q21" s="190" t="inlineStr">
        <is>
          <t>/</t>
        </is>
      </c>
      <c r="R21" s="190" t="inlineStr">
        <is>
          <t>/</t>
        </is>
      </c>
      <c r="S21" s="190" t="inlineStr">
        <is>
          <t>/</t>
        </is>
      </c>
    </row>
    <row r="22" ht="31.5" customHeight="1">
      <c r="A22" s="293" t="inlineStr">
        <is>
          <t>7</t>
        </is>
      </c>
      <c r="B22" s="292" t="inlineStr">
        <is>
          <t>过程检
Process inspection</t>
        </is>
      </c>
      <c r="C22" s="281" t="inlineStr">
        <is>
          <t>N/A</t>
        </is>
      </c>
      <c r="D22" s="405" t="n"/>
      <c r="E22" s="405" t="n"/>
      <c r="F22" s="405" t="n"/>
      <c r="G22" s="405" t="n"/>
      <c r="H22" s="405" t="n"/>
      <c r="I22" s="405" t="n"/>
      <c r="J22" s="405" t="n"/>
      <c r="K22" s="405" t="n"/>
      <c r="L22" s="405" t="n"/>
      <c r="M22" s="405" t="n"/>
      <c r="N22" s="405" t="n"/>
      <c r="O22" s="405" t="n"/>
      <c r="P22" s="405" t="n"/>
      <c r="Q22" s="405" t="n"/>
      <c r="R22" s="405" t="n"/>
      <c r="S22" s="399" t="n"/>
    </row>
    <row r="23" ht="31.5" customHeight="1">
      <c r="A23" s="293" t="inlineStr">
        <is>
          <t>8</t>
        </is>
      </c>
      <c r="B23" s="292" t="inlineStr">
        <is>
          <t>完工检
Finish inspection</t>
        </is>
      </c>
      <c r="C23" s="281" t="inlineStr">
        <is>
          <t>N/A</t>
        </is>
      </c>
      <c r="D23" s="405" t="n"/>
      <c r="E23" s="405" t="n"/>
      <c r="F23" s="405" t="n"/>
      <c r="G23" s="405" t="n"/>
      <c r="H23" s="405" t="n"/>
      <c r="I23" s="405" t="n"/>
      <c r="J23" s="405" t="n"/>
      <c r="K23" s="405" t="n"/>
      <c r="L23" s="405" t="n"/>
      <c r="M23" s="405" t="n"/>
      <c r="N23" s="405" t="n"/>
      <c r="O23" s="405" t="n"/>
      <c r="P23" s="405" t="n"/>
      <c r="Q23" s="405" t="n"/>
      <c r="R23" s="405" t="n"/>
      <c r="S23" s="399" t="n"/>
    </row>
    <row r="24" ht="70" customFormat="1" customHeight="1" s="197">
      <c r="A24" s="410" t="n">
        <v>9</v>
      </c>
      <c r="B24" s="254" t="inlineStr">
        <is>
          <t>打印标签
Print Labels</t>
        </is>
      </c>
      <c r="C24" s="254" t="inlineStr">
        <is>
          <t>根据产品DHR信息进行标签打印。
Label printing based on product DHR information.</t>
        </is>
      </c>
      <c r="D24" s="195" t="inlineStr">
        <is>
          <t>标签打印模糊
Label printing obscured.</t>
        </is>
      </c>
      <c r="E24" s="257" t="inlineStr">
        <is>
          <t>信息不全，使用不便，延长手术时间
Incomplete information, inconvenient use, prolonged operation time.</t>
        </is>
      </c>
      <c r="F24" s="254" t="n">
        <v>2</v>
      </c>
      <c r="G24" s="255" t="inlineStr">
        <is>
          <t>1.打印机参数设置错误。
2.空白标签使用错误，模板使用错误。
3.打印机异常。
1.Printer parameters set incorrectly.
2.Blank label used incorrectly, template used incorrectly.
3.Printer Exception.</t>
        </is>
      </c>
      <c r="H24" s="254" t="n">
        <v>1</v>
      </c>
      <c r="I24" s="257" t="inlineStr">
        <is>
          <t>1.对打印参数进行验证，打印机每日开班进行点检。
2.进行人员岗位培训，固定标签模板，内控号与模板有系统绑定，数据库有会签、评审。
3.打印设备定时维保。
1.Print parameters are verified and printer is spot-checked daily.
2.Performing on-the-job training for personnel, fixing label template, binding between internal control number and template, countersignature and review of database.
3.Print device timing maintenance.</t>
        </is>
      </c>
      <c r="J24" s="257" t="inlineStr">
        <is>
          <t>1.作业人员目视检查标签品质。
2.每批标签首件确认。
3.最终检对包装后产品进行抽检。
1.Operators visually check label quality.
2.First article confirmation of each batch of labels.
3.Final inspection will spot check the packaged product.</t>
        </is>
      </c>
      <c r="K24" s="254" t="n">
        <v>2</v>
      </c>
      <c r="L24" s="254" t="n">
        <v>4</v>
      </c>
      <c r="M24" s="254" t="inlineStr">
        <is>
          <t>-</t>
        </is>
      </c>
      <c r="N24" s="258" t="n"/>
      <c r="O24" s="254" t="inlineStr">
        <is>
          <t>-</t>
        </is>
      </c>
      <c r="P24" s="254" t="inlineStr">
        <is>
          <t>-</t>
        </is>
      </c>
      <c r="Q24" s="254" t="inlineStr">
        <is>
          <t>-</t>
        </is>
      </c>
      <c r="R24" s="254" t="inlineStr">
        <is>
          <t>-</t>
        </is>
      </c>
      <c r="S24" s="254" t="inlineStr">
        <is>
          <t>-</t>
        </is>
      </c>
    </row>
    <row r="25" ht="70" customFormat="1" customHeight="1" s="197">
      <c r="A25" s="408" t="n"/>
      <c r="B25" s="408" t="n"/>
      <c r="C25" s="408" t="n"/>
      <c r="D25" s="195" t="inlineStr">
        <is>
          <t>标签格式打印错误
Label format printed incorrectly.</t>
        </is>
      </c>
      <c r="E25" s="406" t="n"/>
      <c r="F25" s="406" t="n"/>
      <c r="G25" s="406" t="n"/>
      <c r="H25" s="406" t="n"/>
      <c r="I25" s="406" t="n"/>
      <c r="J25" s="408" t="n"/>
      <c r="K25" s="406" t="n"/>
      <c r="L25" s="406" t="n"/>
      <c r="M25" s="406" t="n"/>
      <c r="N25" s="408" t="n"/>
      <c r="O25" s="254" t="inlineStr">
        <is>
          <t>-</t>
        </is>
      </c>
      <c r="P25" s="254" t="inlineStr">
        <is>
          <t>-</t>
        </is>
      </c>
      <c r="Q25" s="254" t="inlineStr">
        <is>
          <t>-</t>
        </is>
      </c>
      <c r="R25" s="254" t="inlineStr">
        <is>
          <t>-</t>
        </is>
      </c>
      <c r="S25" s="254" t="inlineStr">
        <is>
          <t>-</t>
        </is>
      </c>
    </row>
    <row r="26" ht="78.5" customFormat="1" customHeight="1" s="197">
      <c r="A26" s="408" t="n"/>
      <c r="B26" s="408" t="n"/>
      <c r="C26" s="408" t="n"/>
      <c r="D26" s="195" t="inlineStr">
        <is>
          <t>标签打印内容错误
3.Label printed incorrectly.</t>
        </is>
      </c>
      <c r="E26" s="257" t="inlineStr">
        <is>
          <t>错误使用器械，对患者造成损伤
Incorrect use of device causing injury to patient.</t>
        </is>
      </c>
      <c r="F26" s="254" t="n">
        <v>3</v>
      </c>
      <c r="G26" s="255" t="inlineStr">
        <is>
          <t>1.DHR错误。
2.标签模板信息错误，标签模板选用错误。
3.打印人员信息录入错误。
1.DHR Error.
2.Label template information error,label template selection error.
3.Print person information entry error.</t>
        </is>
      </c>
      <c r="H26" s="254" t="n">
        <v>1</v>
      </c>
      <c r="I26" s="257" t="inlineStr">
        <is>
          <t>1.对DHR进行复核确认。
2.标签模板需要进行会签确认，内控号与模板有系统绑定，数据库有会签、评审。
3.进行人员岗位培训。
1.DHR reviewed and confirmed.
2.The label template requires countersignature confirmation, and the internal control number is system-bound to the template, with the database containing countersignature and review records..
3.Performing on-the-job training for personnel.</t>
        </is>
      </c>
      <c r="J26" s="406" t="n"/>
      <c r="K26" s="254" t="n">
        <v>2</v>
      </c>
      <c r="L26" s="254" t="n">
        <v>6</v>
      </c>
      <c r="M26" s="257" t="inlineStr">
        <is>
          <t xml:space="preserve">按照《标签打印及确认标准作业指导书》作业
Operate in accordance with the "Standard Operating Instruction for Label Printing and Confirmation"
</t>
        </is>
      </c>
      <c r="N26" s="406" t="n"/>
      <c r="O26" s="254" t="inlineStr">
        <is>
          <t>-</t>
        </is>
      </c>
      <c r="P26" s="254" t="n">
        <v>3</v>
      </c>
      <c r="Q26" s="254" t="n">
        <v>1</v>
      </c>
      <c r="R26" s="254" t="n">
        <v>1</v>
      </c>
      <c r="S26" s="254" t="n">
        <v>3</v>
      </c>
    </row>
    <row r="27" ht="70" customFormat="1" customHeight="1" s="197">
      <c r="A27" s="406" t="n"/>
      <c r="B27" s="406" t="n"/>
      <c r="C27" s="406" t="n"/>
      <c r="D27" s="257" t="inlineStr">
        <is>
          <t xml:space="preserve">UDI条码信息错误
4. UDI barcode information error
</t>
        </is>
      </c>
      <c r="E27" s="205" t="inlineStr">
        <is>
          <t xml:space="preserve">器械无法正常入成品库
Devices cannot normally enter the finished goods warehouse.
</t>
        </is>
      </c>
      <c r="F27" s="189" t="n">
        <v>3</v>
      </c>
      <c r="G27" s="205" t="inlineStr">
        <is>
          <t>1.标签模板信息错误；
2.标签模板选用错误；
1. Label template information error;
2. Label template selection error.</t>
        </is>
      </c>
      <c r="H27" s="189" t="n">
        <v>1</v>
      </c>
      <c r="I27" s="205" t="inlineStr">
        <is>
          <t>1.标签模板需要进行会签确认，且内控号与模板有系统绑定，数据库有会签、评审。
2.进行人员岗位培训。
1.The label template requires countersignature confirmation, and the internal control number is system-bound to the template, with the database containing countersignature and review records.
2.Performing on-the-job training for personnel.</t>
        </is>
      </c>
      <c r="J27" s="205" t="inlineStr">
        <is>
          <t>每批标签首件确认时进行UDI条码确认
Perform UDI barcode confirmation during the first article confirmation of each batch of labels.</t>
        </is>
      </c>
      <c r="K27" s="189" t="n">
        <v>2</v>
      </c>
      <c r="L27" s="189" t="n">
        <v>6</v>
      </c>
      <c r="M27" s="205" t="inlineStr">
        <is>
          <t>按照《标签打印及确认标准作业指导书》作业
Operate in accordance with the "Standard Operating Instruction for Label Printing and Confirmation"</t>
        </is>
      </c>
      <c r="N27" s="205" t="inlineStr">
        <is>
          <t>产品管理部
1.Product Management Department</t>
        </is>
      </c>
      <c r="O27" s="254" t="inlineStr">
        <is>
          <t>-</t>
        </is>
      </c>
      <c r="P27" s="254" t="n">
        <v>3</v>
      </c>
      <c r="Q27" s="254" t="n">
        <v>1</v>
      </c>
      <c r="R27" s="254" t="n">
        <v>1</v>
      </c>
      <c r="S27" s="254" t="n">
        <v>3</v>
      </c>
    </row>
    <row r="28" ht="26" customFormat="1" customHeight="1" s="105">
      <c r="A28" s="232" t="n"/>
      <c r="B28" s="396" t="n"/>
      <c r="C28" s="396" t="n"/>
      <c r="D28" s="397" t="n"/>
      <c r="E28" s="294">
        <f>封面!E1</f>
        <v/>
      </c>
      <c r="F28" s="396" t="n"/>
      <c r="G28" s="396" t="n"/>
      <c r="H28" s="396" t="n"/>
      <c r="I28" s="396" t="n"/>
      <c r="J28" s="396" t="n"/>
      <c r="K28" s="396" t="n"/>
      <c r="L28" s="397" t="n"/>
      <c r="M28" s="113" t="inlineStr">
        <is>
          <t>File No.           
文件编号</t>
        </is>
      </c>
      <c r="N28" s="263">
        <f>封面!L1</f>
        <v/>
      </c>
      <c r="O28" s="405" t="n"/>
      <c r="P28" s="405" t="n"/>
      <c r="Q28" s="405" t="n"/>
      <c r="R28" s="405" t="n"/>
      <c r="S28" s="399" t="n"/>
    </row>
    <row r="29" ht="26" customHeight="1">
      <c r="A29" s="400" t="n"/>
      <c r="D29" s="401" t="n"/>
      <c r="E29" s="400" t="n"/>
      <c r="L29" s="401" t="n"/>
      <c r="M29" s="113" t="inlineStr">
        <is>
          <t>Rev:                
版本</t>
        </is>
      </c>
      <c r="N29" s="263">
        <f>封面!L2</f>
        <v/>
      </c>
      <c r="O29" s="405" t="n"/>
      <c r="P29" s="405" t="n"/>
      <c r="Q29" s="405" t="n"/>
      <c r="R29" s="405" t="n"/>
      <c r="S29" s="399" t="n"/>
    </row>
    <row r="30" ht="42" customHeight="1">
      <c r="A30" s="402" t="n"/>
      <c r="B30" s="403" t="n"/>
      <c r="C30" s="403" t="n"/>
      <c r="D30" s="404" t="n"/>
      <c r="E30" s="402" t="n"/>
      <c r="F30" s="403" t="n"/>
      <c r="G30" s="403" t="n"/>
      <c r="H30" s="403" t="n"/>
      <c r="I30" s="403" t="n"/>
      <c r="J30" s="403" t="n"/>
      <c r="K30" s="403" t="n"/>
      <c r="L30" s="404" t="n"/>
      <c r="M30" s="114" t="inlineStr">
        <is>
          <t>Page     of            
第  页/共  页</t>
        </is>
      </c>
      <c r="N30" s="264" t="inlineStr">
        <is>
          <t>第 5 页 / 共 14 页</t>
        </is>
      </c>
      <c r="O30" s="405" t="n"/>
      <c r="P30" s="405" t="n"/>
      <c r="Q30" s="405" t="n"/>
      <c r="R30" s="405" t="n"/>
      <c r="S30" s="399" t="n"/>
    </row>
    <row r="31" ht="26" customFormat="1" customHeight="1" s="105">
      <c r="A31" s="237" t="inlineStr">
        <is>
          <t>序号
N0.</t>
        </is>
      </c>
      <c r="B31" s="237" t="inlineStr">
        <is>
          <t>过程名称
Process Name</t>
        </is>
      </c>
      <c r="C31" s="237" t="inlineStr">
        <is>
          <t>功能要求
Functional requirements</t>
        </is>
      </c>
      <c r="D31" s="237" t="inlineStr">
        <is>
          <t>潜在失效模式
FMEA</t>
        </is>
      </c>
      <c r="E31" s="237" t="inlineStr">
        <is>
          <t>潜在失效后果
Potential Effect of Failure</t>
        </is>
      </c>
      <c r="F31" s="237" t="inlineStr">
        <is>
          <t>严重度
severity</t>
        </is>
      </c>
      <c r="G31" s="237" t="inlineStr">
        <is>
          <t>潜在失效起因/机理
Potential failure causes/mechanisms</t>
        </is>
      </c>
      <c r="H31" s="237" t="inlineStr">
        <is>
          <t>频度
frequency</t>
        </is>
      </c>
      <c r="I31" s="237" t="inlineStr">
        <is>
          <t>现行过程控制
Current process control</t>
        </is>
      </c>
      <c r="J31" s="399" t="n"/>
      <c r="K31" s="237" t="inlineStr">
        <is>
          <t>探测度
detectivity</t>
        </is>
      </c>
      <c r="L31" s="237" t="inlineStr">
        <is>
          <t>风险顺序数
Risk order number</t>
        </is>
      </c>
      <c r="M31" s="237" t="inlineStr">
        <is>
          <t>建议的纠正/预防措施
Suggested corrective/preventive measures</t>
        </is>
      </c>
      <c r="N31" s="237" t="inlineStr">
        <is>
          <t>责任部门
Dept.</t>
        </is>
      </c>
      <c r="O31" s="237" t="inlineStr">
        <is>
          <t>改进后 
 Improved</t>
        </is>
      </c>
      <c r="P31" s="405" t="n"/>
      <c r="Q31" s="405" t="n"/>
      <c r="R31" s="405" t="n"/>
      <c r="S31" s="399" t="n"/>
    </row>
    <row r="32" ht="13" customFormat="1" customHeight="1" s="105">
      <c r="A32" s="406" t="n"/>
      <c r="B32" s="406" t="n"/>
      <c r="C32" s="406" t="n"/>
      <c r="D32" s="406" t="n"/>
      <c r="E32" s="406" t="n"/>
      <c r="F32" s="238" t="inlineStr">
        <is>
          <t>S</t>
        </is>
      </c>
      <c r="G32" s="406" t="n"/>
      <c r="H32" s="238" t="inlineStr">
        <is>
          <t>O</t>
        </is>
      </c>
      <c r="I32" s="238" t="inlineStr">
        <is>
          <t>预防
 Prevent</t>
        </is>
      </c>
      <c r="J32" s="238" t="inlineStr">
        <is>
          <t>探测
 Detection</t>
        </is>
      </c>
      <c r="K32" s="238" t="inlineStr">
        <is>
          <t>D</t>
        </is>
      </c>
      <c r="L32" s="238" t="inlineStr">
        <is>
          <t>RPN</t>
        </is>
      </c>
      <c r="M32" s="406" t="n"/>
      <c r="N32" s="406" t="n"/>
      <c r="O32" s="238" t="inlineStr">
        <is>
          <t>措施实施
Implementation of measures</t>
        </is>
      </c>
      <c r="P32" s="238" t="inlineStr">
        <is>
          <t>S</t>
        </is>
      </c>
      <c r="Q32" s="238" t="inlineStr">
        <is>
          <t>O</t>
        </is>
      </c>
      <c r="R32" s="238" t="inlineStr">
        <is>
          <t>D</t>
        </is>
      </c>
      <c r="S32" s="238" t="inlineStr">
        <is>
          <t>RPN</t>
        </is>
      </c>
    </row>
    <row r="33" ht="80" customHeight="1">
      <c r="A33" s="289" t="inlineStr">
        <is>
          <t>10</t>
        </is>
      </c>
      <c r="B33" s="292" t="inlineStr">
        <is>
          <t>内包装
Inner packaging</t>
        </is>
      </c>
      <c r="C33" s="292" t="inlineStr">
        <is>
          <t>配件完整
Fittings complete</t>
        </is>
      </c>
      <c r="D33" s="292" t="inlineStr">
        <is>
          <t>配件缺失
Missing accessories</t>
        </is>
      </c>
      <c r="E33" s="292" t="inlineStr">
        <is>
          <t>产品功能下降，用户非常不满
Product functionality has declined and users are very dissatisfied</t>
        </is>
      </c>
      <c r="F33" s="190" t="n">
        <v>3</v>
      </c>
      <c r="G33" s="292" t="inlineStr">
        <is>
          <t>文件未明确配件安装位置
Documentation does not specify where accessories are to be mounted Documentation does not specify where accessories are to be mounted</t>
        </is>
      </c>
      <c r="H33" s="190" t="n">
        <v>2</v>
      </c>
      <c r="I33" s="261" t="inlineStr">
        <is>
          <t>工艺明确配件安装位置，明确自检要求
The process clarifies the installation of accessories and self-inspection requirements</t>
        </is>
      </c>
      <c r="J33" s="292" t="inlineStr">
        <is>
          <t>目视配件是否齐全
Visual inspection of accessories for completeness</t>
        </is>
      </c>
      <c r="K33" s="190" t="n">
        <v>1</v>
      </c>
      <c r="L33" s="190" t="n">
        <v>6</v>
      </c>
      <c r="M33" s="292" t="inlineStr">
        <is>
          <t>无
none</t>
        </is>
      </c>
      <c r="N33" s="190" t="inlineStr">
        <is>
          <t>/</t>
        </is>
      </c>
      <c r="O33" s="190" t="inlineStr">
        <is>
          <t>/</t>
        </is>
      </c>
      <c r="P33" s="190" t="inlineStr">
        <is>
          <t>/</t>
        </is>
      </c>
      <c r="Q33" s="190" t="inlineStr">
        <is>
          <t>/</t>
        </is>
      </c>
      <c r="R33" s="190" t="inlineStr">
        <is>
          <t>/</t>
        </is>
      </c>
      <c r="S33" s="190" t="inlineStr">
        <is>
          <t>/</t>
        </is>
      </c>
    </row>
    <row r="34" ht="80" customHeight="1">
      <c r="A34" s="408" t="n"/>
      <c r="B34" s="408" t="n"/>
      <c r="C34" s="292" t="inlineStr">
        <is>
          <t>封口宽度不小于6mm
Seal width not less than 6mm</t>
        </is>
      </c>
      <c r="D34" s="292" t="inlineStr">
        <is>
          <t>纸塑袋破损
Broken paper-plastic bags</t>
        </is>
      </c>
      <c r="E34" s="292" t="inlineStr">
        <is>
          <t>产品带菌，引起患者损伤
Product carries bacteria, causing patient injury</t>
        </is>
      </c>
      <c r="F34" s="190" t="n">
        <v>4</v>
      </c>
      <c r="G34" s="292" t="inlineStr">
        <is>
          <t>设备参数不合适
Inappropriate equipment parameters</t>
        </is>
      </c>
      <c r="H34" s="190" t="n">
        <v>2</v>
      </c>
      <c r="I34" s="292" t="inlineStr">
        <is>
          <t>1、进行包装确认
2、建立完善的设备参数
每批进行首检确认
1、Packaging confirmation
2、Establish perfect equipment parameters
First inspection confirmation for each batch</t>
        </is>
      </c>
      <c r="J34" s="292" t="inlineStr">
        <is>
          <t>1.目视全检包装有无破损
2.使用拉力机测试包装的首件拉力
1. Visually inspect the package for damage.
2. Use the tensile machine to test the first piece of packaging tension</t>
        </is>
      </c>
      <c r="K34" s="190" t="n">
        <v>4</v>
      </c>
      <c r="L34" s="190" t="n">
        <v>24</v>
      </c>
      <c r="M34" s="292" t="inlineStr">
        <is>
          <t>关键工序
特殊工序
进行封口确认/评估
Critical Processes
Special Processes
Perform seal confirmation/evaluation</t>
        </is>
      </c>
      <c r="N34" s="292" t="inlineStr">
        <is>
          <t>可视化研发部
Visualization R&amp;D Department</t>
        </is>
      </c>
      <c r="O34" s="292" t="inlineStr">
        <is>
          <t>MTN-1007620一次性胰胆成像导管OQ评估报告
MTN-1007620 OQ assessment Report for Single-use Video Pancreaticobiliary Scope</t>
        </is>
      </c>
      <c r="P34" s="190" t="n">
        <v>4</v>
      </c>
      <c r="Q34" s="190" t="n">
        <v>1</v>
      </c>
      <c r="R34" s="190" t="n">
        <v>4</v>
      </c>
      <c r="S34" s="190" t="n">
        <v>12</v>
      </c>
    </row>
    <row r="35" ht="80" customHeight="1">
      <c r="A35" s="408" t="n"/>
      <c r="B35" s="406" t="n"/>
      <c r="C35" s="292" t="inlineStr">
        <is>
          <t>封口剥离强度≥1.0 lbf/inch
Seal peel strength ≥1.0 lbf/inch</t>
        </is>
      </c>
      <c r="D35" s="406" t="n"/>
      <c r="E35" s="406" t="n"/>
      <c r="F35" s="406" t="n"/>
      <c r="G35" s="406" t="n"/>
      <c r="H35" s="406" t="n"/>
      <c r="I35" s="406" t="n"/>
      <c r="J35" s="406" t="n"/>
      <c r="K35" s="406" t="n"/>
      <c r="L35" s="406" t="n"/>
      <c r="M35" s="406" t="n"/>
      <c r="N35" s="406" t="n"/>
      <c r="O35" s="406" t="n"/>
      <c r="P35" s="406" t="n"/>
      <c r="Q35" s="406" t="n"/>
      <c r="R35" s="406" t="n"/>
      <c r="S35" s="406" t="n"/>
    </row>
    <row r="36" ht="80" customHeight="1">
      <c r="A36" s="232" t="n">
        <v>11</v>
      </c>
      <c r="B36" s="292" t="inlineStr">
        <is>
          <t>外包装
Outer packaging</t>
        </is>
      </c>
      <c r="C36" s="292" t="inlineStr">
        <is>
          <t>按规定数量进行中盒和外箱的包装，并放入产品说明书
Packing of the center box and outer box according to the specified quantity, and putting in the product manuals</t>
        </is>
      </c>
      <c r="D36" s="292" t="inlineStr">
        <is>
          <t xml:space="preserve">说明书缺失   
Missing instructions   </t>
        </is>
      </c>
      <c r="E36" s="292" t="inlineStr">
        <is>
          <t>1.下道工序中断     2.用户非常不满
1. Interruption of the next process 2. Very dissatisfied users</t>
        </is>
      </c>
      <c r="F36" s="190" t="n">
        <v>3</v>
      </c>
      <c r="G36" s="292" t="inlineStr">
        <is>
          <t>包装要求不明确
Unclear packaging requirements</t>
        </is>
      </c>
      <c r="H36" s="190" t="n">
        <v>2</v>
      </c>
      <c r="I36" s="292" t="inlineStr">
        <is>
          <t>明确工艺过程自检要求
Clarify process self-inspection requirements</t>
        </is>
      </c>
      <c r="J36" s="292" t="inlineStr">
        <is>
          <t>目视全检
visual inspection</t>
        </is>
      </c>
      <c r="K36" s="190" t="n">
        <v>1</v>
      </c>
      <c r="L36" s="190" t="n">
        <v>6</v>
      </c>
      <c r="M36" s="292" t="inlineStr">
        <is>
          <t>无
none</t>
        </is>
      </c>
      <c r="N36" s="190" t="inlineStr">
        <is>
          <t>/</t>
        </is>
      </c>
      <c r="O36" s="190" t="inlineStr">
        <is>
          <t>/</t>
        </is>
      </c>
      <c r="P36" s="190" t="inlineStr">
        <is>
          <t>/</t>
        </is>
      </c>
      <c r="Q36" s="190" t="inlineStr">
        <is>
          <t>/</t>
        </is>
      </c>
      <c r="R36" s="190" t="inlineStr">
        <is>
          <t>/</t>
        </is>
      </c>
      <c r="S36" s="190" t="inlineStr">
        <is>
          <t>/</t>
        </is>
      </c>
    </row>
    <row r="37" ht="80" customHeight="1">
      <c r="A37" s="406" t="n"/>
      <c r="B37" s="406" t="n"/>
      <c r="C37" s="406" t="n"/>
      <c r="D37" s="292" t="inlineStr">
        <is>
          <t>包装方式错误
Wrong type of packaging</t>
        </is>
      </c>
      <c r="E37" s="292" t="inlineStr">
        <is>
          <t>1.下道工序中断     2.用户非常不满
1. Interruption of the next process 2. Very dissatisfied users</t>
        </is>
      </c>
      <c r="F37" s="406" t="n"/>
      <c r="G37" s="406" t="n"/>
      <c r="H37" s="406" t="n"/>
      <c r="I37" s="406" t="n"/>
      <c r="J37" s="406" t="n"/>
      <c r="K37" s="406" t="n"/>
      <c r="L37" s="406" t="n"/>
      <c r="M37" s="406" t="n"/>
      <c r="N37" s="190" t="inlineStr">
        <is>
          <t>/</t>
        </is>
      </c>
      <c r="O37" s="190" t="inlineStr">
        <is>
          <t>/</t>
        </is>
      </c>
      <c r="P37" s="190" t="inlineStr">
        <is>
          <t>/</t>
        </is>
      </c>
      <c r="Q37" s="190" t="inlineStr">
        <is>
          <t>/</t>
        </is>
      </c>
      <c r="R37" s="190" t="inlineStr">
        <is>
          <t>/</t>
        </is>
      </c>
      <c r="S37" s="190" t="inlineStr">
        <is>
          <t>/</t>
        </is>
      </c>
    </row>
    <row r="38" ht="40" customHeight="1">
      <c r="A38" s="232" t="n">
        <v>12</v>
      </c>
      <c r="B38" s="292" t="inlineStr">
        <is>
          <t>最终检
Final inspection</t>
        </is>
      </c>
      <c r="C38" s="281" t="inlineStr">
        <is>
          <t>N/A</t>
        </is>
      </c>
      <c r="D38" s="405" t="n"/>
      <c r="E38" s="405" t="n"/>
      <c r="F38" s="405" t="n"/>
      <c r="G38" s="405" t="n"/>
      <c r="H38" s="405" t="n"/>
      <c r="I38" s="405" t="n"/>
      <c r="J38" s="405" t="n"/>
      <c r="K38" s="405" t="n"/>
      <c r="L38" s="405" t="n"/>
      <c r="M38" s="405" t="n"/>
      <c r="N38" s="405" t="n"/>
      <c r="O38" s="405" t="n"/>
      <c r="P38" s="405" t="n"/>
      <c r="Q38" s="405" t="n"/>
      <c r="R38" s="405" t="n"/>
      <c r="S38" s="399" t="n"/>
    </row>
    <row r="39" ht="80" customFormat="1" customHeight="1" s="105">
      <c r="A39" s="232" t="n">
        <v>13</v>
      </c>
      <c r="B39" s="292" t="inlineStr">
        <is>
          <t>灭菌
sterilization</t>
        </is>
      </c>
      <c r="C39" s="292" t="inlineStr">
        <is>
          <t>保证产品为无菌状态
Ensure that the product is sterile</t>
        </is>
      </c>
      <c r="D39" s="292" t="inlineStr">
        <is>
          <t>产品带菌
Product Sterilization</t>
        </is>
      </c>
      <c r="E39" s="292" t="inlineStr">
        <is>
          <t>引起患者损伤
Causes injury to the patient</t>
        </is>
      </c>
      <c r="F39" s="190" t="n">
        <v>4</v>
      </c>
      <c r="G39" s="292" t="inlineStr">
        <is>
          <t xml:space="preserve">
灭菌参数不正确
Incorrect sterilization parameters</t>
        </is>
      </c>
      <c r="H39" s="190" t="n">
        <v>2</v>
      </c>
      <c r="I39" s="292" t="inlineStr">
        <is>
          <t>1.进行灭菌确认
2.对每个灭菌批产品进行BI检测，同时对灭菌批记录进行核对，外包和内包全数贴灭菌标签预防遗漏
1. Perform sterilization confirmation
2. Perform BI test on each sterilized batch of products, check the records of sterilized batch at the same time, and label all the outsourced and insourced products with sterilized labels to prevent omission.</t>
        </is>
      </c>
      <c r="J39" s="292" t="inlineStr">
        <is>
          <t>目视全检              无菌测试
Visual inspection Aseptic testing</t>
        </is>
      </c>
      <c r="K39" s="190" t="n">
        <v>4</v>
      </c>
      <c r="L39" s="190" t="n">
        <v>32</v>
      </c>
      <c r="M39" s="292" t="inlineStr">
        <is>
          <t>关键工序
特殊工序
进行灭菌确认/评估
Critical Processes
Special processes
Sterilization confirmation/assessment</t>
        </is>
      </c>
      <c r="N39" s="292" t="inlineStr">
        <is>
          <t>可视化研发部
Visualization R&amp;D Department</t>
        </is>
      </c>
      <c r="O39" s="189" t="inlineStr">
        <is>
          <t xml:space="preserve">
MTN-1010340 一次性胰胆成像导管
EO 灭菌过程评估报告
MTN-1010340 EO-Sterilization Process Evaluation Report of 
Single-use Video Pancreaticobiliary Scope </t>
        </is>
      </c>
      <c r="P39" s="190" t="n">
        <v>4</v>
      </c>
      <c r="Q39" s="190" t="n">
        <v>1</v>
      </c>
      <c r="R39" s="190" t="n">
        <v>4</v>
      </c>
      <c r="S39" s="190" t="n">
        <v>16</v>
      </c>
    </row>
    <row r="40" ht="40" customHeight="1">
      <c r="A40" s="232" t="n">
        <v>14</v>
      </c>
      <c r="B40" s="292" t="inlineStr">
        <is>
          <t>出厂检
Delivery inspection</t>
        </is>
      </c>
      <c r="C40" s="281" t="inlineStr">
        <is>
          <t>N/A</t>
        </is>
      </c>
      <c r="D40" s="405" t="n"/>
      <c r="E40" s="405" t="n"/>
      <c r="F40" s="405" t="n"/>
      <c r="G40" s="405" t="n"/>
      <c r="H40" s="405" t="n"/>
      <c r="I40" s="405" t="n"/>
      <c r="J40" s="405" t="n"/>
      <c r="K40" s="405" t="n"/>
      <c r="L40" s="405" t="n"/>
      <c r="M40" s="405" t="n"/>
      <c r="N40" s="405" t="n"/>
      <c r="O40" s="405" t="n"/>
      <c r="P40" s="405" t="n"/>
      <c r="Q40" s="405" t="n"/>
      <c r="R40" s="405" t="n"/>
      <c r="S40" s="399" t="n"/>
    </row>
    <row r="41" ht="26" customFormat="1" customHeight="1" s="105">
      <c r="A41" s="232" t="n"/>
      <c r="B41" s="396" t="n"/>
      <c r="C41" s="396" t="n"/>
      <c r="D41" s="397" t="n"/>
      <c r="E41" s="294">
        <f>$E$28</f>
        <v/>
      </c>
      <c r="F41" s="396" t="n"/>
      <c r="G41" s="396" t="n"/>
      <c r="H41" s="396" t="n"/>
      <c r="I41" s="396" t="n"/>
      <c r="J41" s="396" t="n"/>
      <c r="K41" s="396" t="n"/>
      <c r="L41" s="397" t="n"/>
      <c r="M41" s="113" t="inlineStr">
        <is>
          <t>File No.           
文件编号</t>
        </is>
      </c>
      <c r="N41" s="263">
        <f>封面!$L$1</f>
        <v/>
      </c>
      <c r="O41" s="405" t="n"/>
      <c r="P41" s="405" t="n"/>
      <c r="Q41" s="405" t="n"/>
      <c r="R41" s="405" t="n"/>
      <c r="S41" s="399" t="n"/>
    </row>
    <row r="42" ht="26" customHeight="1">
      <c r="A42" s="400" t="n"/>
      <c r="D42" s="401" t="n"/>
      <c r="E42" s="400" t="n"/>
      <c r="L42" s="401" t="n"/>
      <c r="M42" s="113" t="inlineStr">
        <is>
          <t>Rev:                
版本</t>
        </is>
      </c>
      <c r="N42" s="263">
        <f>封面!$L$2</f>
        <v/>
      </c>
      <c r="O42" s="405" t="n"/>
      <c r="P42" s="405" t="n"/>
      <c r="Q42" s="405" t="n"/>
      <c r="R42" s="405" t="n"/>
      <c r="S42" s="399" t="n"/>
    </row>
    <row r="43" ht="42" customHeight="1">
      <c r="A43" s="402" t="n"/>
      <c r="B43" s="403" t="n"/>
      <c r="C43" s="403" t="n"/>
      <c r="D43" s="404" t="n"/>
      <c r="E43" s="402" t="n"/>
      <c r="F43" s="403" t="n"/>
      <c r="G43" s="403" t="n"/>
      <c r="H43" s="403" t="n"/>
      <c r="I43" s="403" t="n"/>
      <c r="J43" s="403" t="n"/>
      <c r="K43" s="403" t="n"/>
      <c r="L43" s="404" t="n"/>
      <c r="M43" s="114" t="inlineStr">
        <is>
          <t>Page     of            
第  页/共  页</t>
        </is>
      </c>
      <c r="N43" s="264" t="inlineStr">
        <is>
          <t>第 5 页 / 共 14 页</t>
        </is>
      </c>
      <c r="O43" s="405" t="n"/>
      <c r="P43" s="405" t="n"/>
      <c r="Q43" s="405" t="n"/>
      <c r="R43" s="405" t="n"/>
      <c r="S43" s="399" t="n"/>
    </row>
    <row r="44" ht="26" customFormat="1" customHeight="1" s="105">
      <c r="A44" s="237" t="inlineStr">
        <is>
          <t>序号
N0.</t>
        </is>
      </c>
      <c r="B44" s="237" t="inlineStr">
        <is>
          <t>过程名称
Process Name</t>
        </is>
      </c>
      <c r="C44" s="237" t="inlineStr">
        <is>
          <t>功能要求
Functional requirements</t>
        </is>
      </c>
      <c r="D44" s="237" t="inlineStr">
        <is>
          <t>潜在失效模式
FMEA</t>
        </is>
      </c>
      <c r="E44" s="237" t="inlineStr">
        <is>
          <t>潜在失效后果
Potential Effect of Failure</t>
        </is>
      </c>
      <c r="F44" s="237" t="inlineStr">
        <is>
          <t>严重度
severity</t>
        </is>
      </c>
      <c r="G44" s="237" t="inlineStr">
        <is>
          <t>潜在失效起因/机理
Potential failure causes/mechanisms</t>
        </is>
      </c>
      <c r="H44" s="237" t="inlineStr">
        <is>
          <t>频度
frequency</t>
        </is>
      </c>
      <c r="I44" s="237" t="inlineStr">
        <is>
          <t>现行过程控制
Current process control</t>
        </is>
      </c>
      <c r="J44" s="399" t="n"/>
      <c r="K44" s="237" t="inlineStr">
        <is>
          <t>探测度
detectivity</t>
        </is>
      </c>
      <c r="L44" s="237" t="inlineStr">
        <is>
          <t>风险顺序数
Risk order number</t>
        </is>
      </c>
      <c r="M44" s="237" t="inlineStr">
        <is>
          <t>建议的纠正/预防措施
Suggested corrective/preventive measures</t>
        </is>
      </c>
      <c r="N44" s="237" t="inlineStr">
        <is>
          <t>责任部门
Dept.</t>
        </is>
      </c>
      <c r="O44" s="237" t="inlineStr">
        <is>
          <t>改进后 
 Improved</t>
        </is>
      </c>
      <c r="P44" s="405" t="n"/>
      <c r="Q44" s="405" t="n"/>
      <c r="R44" s="405" t="n"/>
      <c r="S44" s="399" t="n"/>
    </row>
    <row r="45" ht="13" customFormat="1" customHeight="1" s="105">
      <c r="A45" s="406" t="n"/>
      <c r="B45" s="406" t="n"/>
      <c r="C45" s="406" t="n"/>
      <c r="D45" s="406" t="n"/>
      <c r="E45" s="406" t="n"/>
      <c r="F45" s="238" t="inlineStr">
        <is>
          <t>S</t>
        </is>
      </c>
      <c r="G45" s="406" t="n"/>
      <c r="H45" s="238" t="inlineStr">
        <is>
          <t>O</t>
        </is>
      </c>
      <c r="I45" s="238" t="inlineStr">
        <is>
          <t>预防
 Prevent</t>
        </is>
      </c>
      <c r="J45" s="238" t="inlineStr">
        <is>
          <t>探测
 Detection</t>
        </is>
      </c>
      <c r="K45" s="238" t="inlineStr">
        <is>
          <t>D</t>
        </is>
      </c>
      <c r="L45" s="238" t="inlineStr">
        <is>
          <t>RPN</t>
        </is>
      </c>
      <c r="M45" s="406" t="n"/>
      <c r="N45" s="406" t="n"/>
      <c r="O45" s="238" t="inlineStr">
        <is>
          <t>措施实施
Implementation of measures</t>
        </is>
      </c>
      <c r="P45" s="238" t="inlineStr">
        <is>
          <t>S</t>
        </is>
      </c>
      <c r="Q45" s="238" t="inlineStr">
        <is>
          <t>O</t>
        </is>
      </c>
      <c r="R45" s="238" t="inlineStr">
        <is>
          <t>D</t>
        </is>
      </c>
      <c r="S45" s="238" t="inlineStr">
        <is>
          <t>RPN</t>
        </is>
      </c>
    </row>
    <row r="46" ht="40" customFormat="1" customHeight="1" s="411">
      <c r="A46" s="232" t="n">
        <v>15</v>
      </c>
      <c r="B46" s="189" t="inlineStr">
        <is>
          <t>入库
Store</t>
        </is>
      </c>
      <c r="C46" s="292" t="inlineStr">
        <is>
          <t>产品正确入库
Correct warehousing of products</t>
        </is>
      </c>
      <c r="D46" s="292" t="inlineStr">
        <is>
          <t>入库规格错误
Incorrect inbound specifications</t>
        </is>
      </c>
      <c r="E46" s="292" t="inlineStr">
        <is>
          <t>对本道工序产生影响                         用户非常不满
It's affecting the process. Users are very unhappy.</t>
        </is>
      </c>
      <c r="F46" s="189" t="n">
        <v>3</v>
      </c>
      <c r="G46" s="292" t="inlineStr">
        <is>
          <t>标签错误
tagging error</t>
        </is>
      </c>
      <c r="H46" s="189" t="n">
        <v>1</v>
      </c>
      <c r="I46" s="292" t="inlineStr">
        <is>
          <t>利用打码机进行入库
Utilizing coding machines for stocking</t>
        </is>
      </c>
      <c r="J46" s="292" t="inlineStr">
        <is>
          <t>目视全检
visual inspection</t>
        </is>
      </c>
      <c r="K46" s="189" t="n">
        <v>1</v>
      </c>
      <c r="L46" s="189" t="n">
        <v>3</v>
      </c>
      <c r="M46" s="292" t="inlineStr">
        <is>
          <t>无
none</t>
        </is>
      </c>
      <c r="N46" s="190" t="inlineStr">
        <is>
          <t>/</t>
        </is>
      </c>
      <c r="O46" s="190" t="inlineStr">
        <is>
          <t>/</t>
        </is>
      </c>
      <c r="P46" s="190" t="inlineStr">
        <is>
          <t>/</t>
        </is>
      </c>
      <c r="Q46" s="190" t="inlineStr">
        <is>
          <t>/</t>
        </is>
      </c>
      <c r="R46" s="190" t="inlineStr">
        <is>
          <t>/</t>
        </is>
      </c>
      <c r="S46" s="190" t="inlineStr">
        <is>
          <t>/</t>
        </is>
      </c>
    </row>
    <row r="47" ht="80" customFormat="1" customHeight="1" s="411">
      <c r="A47" s="408" t="n"/>
      <c r="B47" s="408" t="n"/>
      <c r="C47" s="292" t="inlineStr">
        <is>
          <t xml:space="preserve">运输或存储过程中产品包装完整
Integrity of product packaging during transportation or storage
</t>
        </is>
      </c>
      <c r="D47" s="292" t="inlineStr">
        <is>
          <t>产品包装破损或不完整
Damaged or incomplete product packaging</t>
        </is>
      </c>
      <c r="E47" s="292" t="inlineStr">
        <is>
          <t>产品无法使用或部分性能下降、失效，客户不满意
The product is unusable or part of the performance is degraded or fails, and the customer is dissatisfied</t>
        </is>
      </c>
      <c r="F47" s="189" t="n">
        <v>4</v>
      </c>
      <c r="G47" s="292" t="inlineStr">
        <is>
          <t>1.暴力作业，包装被摔破或挤压
2.产品转运过程中磕碰或掉落，有尖锐物品划伤
3.存储环境不符合产品设计要求
1. Violent operation, packaging was broken or extrusion
2.The products are bumped or dropped during transit, and scratched by sharp objects.
3.The storage environment does not meet the requirements of product design.</t>
        </is>
      </c>
      <c r="H47" s="189" t="n">
        <v>2</v>
      </c>
      <c r="I47" s="292" t="inlineStr">
        <is>
          <t>1.转运过程中轻拿轻放
2.转运过程中使用托盘转运
3.对存储环境进行日常点检
1. Carry and place gently during transit
2. Use of pallets in the transfer process
3. Daily inspection of the storage environment</t>
        </is>
      </c>
      <c r="J47" s="292" t="inlineStr">
        <is>
          <t>目视检查
visual inspection</t>
        </is>
      </c>
      <c r="K47" s="189" t="n">
        <v>2</v>
      </c>
      <c r="L47" s="189">
        <f>F47*H47*K47</f>
        <v/>
      </c>
      <c r="M47" s="292" t="inlineStr">
        <is>
          <t>无
none</t>
        </is>
      </c>
      <c r="N47" s="190" t="inlineStr">
        <is>
          <t>/</t>
        </is>
      </c>
      <c r="O47" s="190" t="inlineStr">
        <is>
          <t>/</t>
        </is>
      </c>
      <c r="P47" s="190" t="inlineStr">
        <is>
          <t>/</t>
        </is>
      </c>
      <c r="Q47" s="190" t="inlineStr">
        <is>
          <t>/</t>
        </is>
      </c>
      <c r="R47" s="190" t="inlineStr">
        <is>
          <t>/</t>
        </is>
      </c>
      <c r="S47" s="190" t="inlineStr">
        <is>
          <t>/</t>
        </is>
      </c>
    </row>
    <row r="48" ht="80" customFormat="1" customHeight="1" s="411">
      <c r="A48" s="406" t="n"/>
      <c r="B48" s="406" t="n"/>
      <c r="C48" s="292" t="inlineStr">
        <is>
          <t>运输或存储过程中外箱标签、标识信息可以正确识别
Container labels and marking information can be correctly identified during transportation or storage.</t>
        </is>
      </c>
      <c r="D48" s="292" t="inlineStr">
        <is>
          <t>外箱标签、标识破损，不可正确识别
Outer box labels and markings are damaged and not properly identifiable</t>
        </is>
      </c>
      <c r="E48" s="292" t="inlineStr">
        <is>
          <t>无法正确识别产品信息
Inability to correctly identify product information</t>
        </is>
      </c>
      <c r="F48" s="189" t="n">
        <v>3</v>
      </c>
      <c r="G48" s="292" t="inlineStr">
        <is>
          <t>1.暴力作业，包装被摔破或挤压
2.产品转运过程中磕碰或掉落，有尖锐物品划伤
3.存储环境不符合产品设计要求
1. Violent operation, packaging was broken or extrusion
2.The products are bumped or dropped during transit, and scratched by sharp objects.
3.The storage environment does not meet the requirements of product design.</t>
        </is>
      </c>
      <c r="H48" s="189" t="n">
        <v>2</v>
      </c>
      <c r="I48" s="292" t="inlineStr">
        <is>
          <t>1.转运过程中轻拿轻放
2.转运过程中使用托盘转运
3.对存储环境进行日常点检
1. Carry and place gently during transit
2. Use of pallets in the transfer process
3. Daily inspection of the storage environment</t>
        </is>
      </c>
      <c r="J48" s="292" t="inlineStr">
        <is>
          <t>目视检查
visual inspection</t>
        </is>
      </c>
      <c r="K48" s="189" t="n">
        <v>2</v>
      </c>
      <c r="L48" s="189">
        <f>F48*H48*K48</f>
        <v/>
      </c>
      <c r="M48" s="292" t="inlineStr">
        <is>
          <t>无
none</t>
        </is>
      </c>
      <c r="N48" s="259" t="inlineStr">
        <is>
          <t>/</t>
        </is>
      </c>
      <c r="O48" s="259" t="inlineStr">
        <is>
          <t>/</t>
        </is>
      </c>
      <c r="P48" s="259" t="inlineStr">
        <is>
          <t>/</t>
        </is>
      </c>
      <c r="Q48" s="259" t="inlineStr">
        <is>
          <t>/</t>
        </is>
      </c>
      <c r="R48" s="259" t="inlineStr">
        <is>
          <t>/</t>
        </is>
      </c>
      <c r="S48" s="259" t="inlineStr">
        <is>
          <t>/</t>
        </is>
      </c>
    </row>
    <row r="49" ht="40" customFormat="1" customHeight="1" s="411">
      <c r="A49" s="412" t="inlineStr">
        <is>
          <t>说明：PFMEA编制原则：
Explanation：Principles for preparing PFMEA:</t>
        </is>
      </c>
      <c r="B49" s="405" t="n"/>
      <c r="C49" s="405" t="n"/>
      <c r="D49" s="405" t="n"/>
      <c r="E49" s="405" t="n"/>
      <c r="F49" s="405" t="n"/>
      <c r="G49" s="405" t="n"/>
      <c r="H49" s="405" t="n"/>
      <c r="I49" s="405" t="n"/>
      <c r="J49" s="405" t="n"/>
      <c r="K49" s="405" t="n"/>
      <c r="L49" s="405" t="n"/>
      <c r="M49" s="405" t="n"/>
      <c r="N49" s="405" t="n"/>
      <c r="O49" s="405" t="n"/>
      <c r="P49" s="405" t="n"/>
      <c r="Q49" s="405" t="n"/>
      <c r="R49" s="405" t="n"/>
      <c r="S49" s="399" t="n"/>
    </row>
    <row r="50" ht="30" customFormat="1" customHeight="1" s="413">
      <c r="A50" s="206" t="n"/>
      <c r="B50" s="266" t="inlineStr">
        <is>
          <t>S=严重性
S=Severity</t>
        </is>
      </c>
      <c r="C50" s="405" t="n"/>
      <c r="D50" s="405" t="n"/>
      <c r="E50" s="405" t="n"/>
      <c r="F50" s="399" t="n"/>
      <c r="G50" s="266" t="inlineStr">
        <is>
          <t>O=频率
O=Frequentness</t>
        </is>
      </c>
      <c r="H50" s="405" t="n"/>
      <c r="I50" s="399" t="n"/>
      <c r="J50" s="266" t="inlineStr">
        <is>
          <t>D=可探测性
D=Detectability</t>
        </is>
      </c>
      <c r="K50" s="405" t="n"/>
      <c r="L50" s="405" t="n"/>
      <c r="M50" s="399" t="n"/>
      <c r="N50" s="266" t="inlineStr">
        <is>
          <t>R=风险指数
R=RPN</t>
        </is>
      </c>
      <c r="O50" s="405" t="n"/>
      <c r="P50" s="405" t="n"/>
      <c r="Q50" s="405" t="n"/>
      <c r="R50" s="405" t="n"/>
      <c r="S50" s="399" t="n"/>
    </row>
    <row r="51" ht="60" customFormat="1" customHeight="1" s="414">
      <c r="A51" s="206" t="n"/>
      <c r="B51" s="266" t="inlineStr">
        <is>
          <t>1.可忽略的：对下游工序没有影响或产品性能影响可忽略；不会引起使用者抱怨，不会引起人员受伤，无财产和环境的损坏。
1.Negligible: No impact on downstream processes or negligible impact on product performance; It will not cause user complaints, personnel injury, property or environmental damage.</t>
        </is>
      </c>
      <c r="C51" s="405" t="n"/>
      <c r="D51" s="405" t="n"/>
      <c r="E51" s="405" t="n"/>
      <c r="F51" s="399" t="n"/>
      <c r="G51" s="266" t="inlineStr">
        <is>
          <t>1.非常少：＜10-6；
1.Very little：＜10-6；</t>
        </is>
      </c>
      <c r="H51" s="405" t="n"/>
      <c r="I51" s="399" t="n"/>
      <c r="J51" s="266" t="inlineStr">
        <is>
          <t>1.基本能：设计采用了防错措施，不会产生有缺陷的零部件；
1.Basic ability: The design adopts error prevention measures and will not produce defective components;</t>
        </is>
      </c>
      <c r="K51" s="405" t="n"/>
      <c r="L51" s="405" t="n"/>
      <c r="M51" s="399" t="n"/>
      <c r="N51" s="266" t="inlineStr">
        <is>
          <t>R=S x O x D</t>
        </is>
      </c>
      <c r="O51" s="405" t="n"/>
      <c r="P51" s="405" t="n"/>
      <c r="Q51" s="405" t="n"/>
      <c r="R51" s="405" t="n"/>
      <c r="S51" s="399" t="n"/>
    </row>
    <row r="52" ht="60" customFormat="1" customHeight="1" s="209">
      <c r="A52" s="206" t="n"/>
      <c r="B52" s="266" t="inlineStr">
        <is>
          <t>2.轻度的：当前工序和下游工序受影响或对产品性能有轻微影响；性能有所下降，但能实现预期功能，可能引起操作者轻微抱怨，但不会造成人员受伤。
2.Mild: The current and downstream processes are affected or have a slight impact on product performance; The performance has decreased, but the expected function can be achieved, which may cause slight complaints from the operator, but will not cause personal injury.</t>
        </is>
      </c>
      <c r="C52" s="405" t="n"/>
      <c r="D52" s="405" t="n"/>
      <c r="E52" s="405" t="n"/>
      <c r="F52" s="399" t="n"/>
      <c r="G52" s="266" t="inlineStr">
        <is>
          <t>2.很少：&lt;10-5 和 ≥10-6；
2.Little：&lt;10-5 和 ≥10-6；</t>
        </is>
      </c>
      <c r="H52" s="405" t="n"/>
      <c r="I52" s="399" t="n"/>
      <c r="J52" s="266" t="inlineStr">
        <is>
          <t>2.很可能：当场探测错误，或者以多重探测原则在后续作业中探测错误
2.It is highly possible to detect errors on the spot, or to detect errors in subsequent operations using the principle of multiple detections.</t>
        </is>
      </c>
      <c r="K52" s="405" t="n"/>
      <c r="L52" s="405" t="n"/>
      <c r="M52" s="399" t="n"/>
      <c r="N52" s="266" t="inlineStr">
        <is>
          <t>1.RPN值1-20，低风险：一般可接受；
1.RPN value 1-20, low risk: generally acceptable;</t>
        </is>
      </c>
      <c r="O52" s="405" t="n"/>
      <c r="P52" s="405" t="n"/>
      <c r="Q52" s="405" t="n"/>
      <c r="R52" s="405" t="n"/>
      <c r="S52" s="399" t="n"/>
    </row>
    <row r="53" ht="60" customFormat="1" customHeight="1" s="209">
      <c r="A53" s="206" t="n"/>
      <c r="B53" s="266" t="inlineStr">
        <is>
          <t>3.中等的：下游工序中断或对产品性能有中度影响；产品性能下降，但能实现预期功能，可能造成病人受伤，但不需要专业的医疗介入。
3.Moderate: downstream process interruption or moderate impact on product performance; The performance of the product decreases, but it can achieve the expected function, which may cause patient injury, but does not require professional medical intervention.</t>
        </is>
      </c>
      <c r="C53" s="405" t="n"/>
      <c r="D53" s="405" t="n"/>
      <c r="E53" s="405" t="n"/>
      <c r="F53" s="399" t="n"/>
      <c r="G53" s="266" t="inlineStr">
        <is>
          <t>3.偶然：&lt;10-4 和 ≥10-5；
3Accidental：&lt;10-4 和 ≥10-5；</t>
        </is>
      </c>
      <c r="H53" s="405" t="n"/>
      <c r="I53" s="399" t="n"/>
      <c r="J53" s="266" t="inlineStr">
        <is>
          <t>3.有可能：仅能以间接或双重检查探测到
3.Possible: can only be detected through indirect or double inspection.</t>
        </is>
      </c>
      <c r="K53" s="405" t="n"/>
      <c r="L53" s="405" t="n"/>
      <c r="M53" s="399" t="n"/>
      <c r="N53" s="266" t="inlineStr">
        <is>
          <t>2.RPN值21-40，中风险：进一步分析调查可减少的风险；
2.RPN value 21-40, medium risk: further analysis and investigation can reduce the risk;</t>
        </is>
      </c>
      <c r="O53" s="405" t="n"/>
      <c r="P53" s="405" t="n"/>
      <c r="Q53" s="405" t="n"/>
      <c r="R53" s="405" t="n"/>
      <c r="S53" s="399" t="n"/>
    </row>
    <row r="54" ht="60" customFormat="1" customHeight="1" s="209">
      <c r="A54" s="210" t="n"/>
      <c r="B54" s="266" t="inlineStr">
        <is>
          <t>4.严重的：导致严重停工，并造成严重经济损失，或对产品性能有严重影响；产品失去其预期用途功能，或造成病人受伤，需要专业的医疗介入；造成财产或环境的损坏。
4.Serious: leading to serious shutdown and causing serious economic losses, or having a serious impact on product performance; The product loses its intended function or causes patient injury, requiring professional medical intervention; Causing damage to property or the environment.</t>
        </is>
      </c>
      <c r="C54" s="405" t="n"/>
      <c r="D54" s="405" t="n"/>
      <c r="E54" s="405" t="n"/>
      <c r="F54" s="399" t="n"/>
      <c r="G54" s="266" t="inlineStr">
        <is>
          <t>4.有时：&lt;10-3 和 ≥10-4；
4.Sometimes：&lt;10-3 和 ≥10-4；</t>
        </is>
      </c>
      <c r="H54" s="405" t="n"/>
      <c r="I54" s="399" t="n"/>
      <c r="J54" s="266" t="inlineStr">
        <is>
          <t>4.不可能：仅能以间接或随机检查探测到
4.Impossible: can only be detected through indirect or random inspections.</t>
        </is>
      </c>
      <c r="K54" s="405" t="n"/>
      <c r="L54" s="405" t="n"/>
      <c r="M54" s="399" t="n"/>
      <c r="N54" s="266" t="inlineStr">
        <is>
          <t>3.RPN值40+，高风险：不可接受，必须裁切措施降低风险；
3.RPN value of 40+, high risk: unacceptable, cutting measures must be taken to reduce risk;</t>
        </is>
      </c>
      <c r="O54" s="405" t="n"/>
      <c r="P54" s="405" t="n"/>
      <c r="Q54" s="405" t="n"/>
      <c r="R54" s="405" t="n"/>
      <c r="S54" s="399" t="n"/>
    </row>
    <row r="55" ht="60" customFormat="1" customHeight="1" s="209">
      <c r="A55" s="211" t="n"/>
      <c r="B55" s="266" t="inlineStr">
        <is>
          <t>5.极其严重：导致产线关闭，操作人员受伤或对产品性能有极其严重影响；造成病人不可逆的损伤，如残疾或死亡
5.Extremely serious: causing the production line to shut down, injuring operators, or having an extremely serious impact on product performance; Causing irreversible damage to the patient, such as disability or death.</t>
        </is>
      </c>
      <c r="C55" s="405" t="n"/>
      <c r="D55" s="405" t="n"/>
      <c r="E55" s="405" t="n"/>
      <c r="F55" s="399" t="n"/>
      <c r="G55" s="266" t="inlineStr">
        <is>
          <t>5.经常：≥10-3
5.Often：≥10-3</t>
        </is>
      </c>
      <c r="H55" s="405" t="n"/>
      <c r="I55" s="399" t="n"/>
      <c r="J55" s="266" t="inlineStr">
        <is>
          <t>5.几乎不可能：无法探测或没有检测
5.Almost impossible: unable to detect or without detection.</t>
        </is>
      </c>
      <c r="K55" s="405" t="n"/>
      <c r="L55" s="405" t="n"/>
      <c r="M55" s="399" t="n"/>
      <c r="N55" s="266" t="inlineStr">
        <is>
          <t>当风险严重度≥3时， 根据风险严重度准则的定义已经造成了伤害，因此无论风险指数是否可以接受，都需要强制确保风险通过存在的设计控制或建议措施来降低风险发生概率或探测度；
When the risk severity is ≥ 3, according to the definition of the risk severity criterion, harm has already been caused. Therefore, regardless of whether the risk index is acceptable, it is necessary to forcibly ensure that the risk is reduced or measured through existing design controls or suggested measures to reduce the probability of risk occurrence;</t>
        </is>
      </c>
      <c r="O55" s="405" t="n"/>
      <c r="P55" s="405" t="n"/>
      <c r="Q55" s="405" t="n"/>
      <c r="R55" s="405" t="n"/>
      <c r="S55" s="399" t="n"/>
    </row>
    <row r="56">
      <c r="A56" s="237" t="n"/>
      <c r="B56" s="405" t="n"/>
      <c r="C56" s="405" t="n"/>
      <c r="D56" s="405" t="n"/>
      <c r="E56" s="405" t="n"/>
      <c r="F56" s="405" t="n"/>
      <c r="G56" s="405" t="n"/>
      <c r="H56" s="405" t="n"/>
      <c r="I56" s="405" t="n"/>
      <c r="J56" s="405" t="n"/>
      <c r="K56" s="405" t="n"/>
      <c r="L56" s="405" t="n"/>
      <c r="M56" s="405" t="n"/>
      <c r="N56" s="405" t="n"/>
      <c r="O56" s="405" t="n"/>
      <c r="P56" s="405" t="n"/>
      <c r="Q56" s="405" t="n"/>
      <c r="R56" s="405" t="n"/>
      <c r="S56" s="399" t="n"/>
    </row>
    <row r="57">
      <c r="A57" s="276" t="inlineStr">
        <is>
          <t>机密性：此文件包括机密性信息并且是南京迈创医疗器械有限公司的私有财产。
此文件及其包含的信息均不可在没有得到南京迈创医疗器械有限公司预先的书面同意的情况下为了第三方的利益被复制、利用和传播。
Confidentiality:  This document contains information that is confidential and proprietary property of  Transmed (China) Co., Ltd.. Neither this document nor the information therein may be reproduced, used or distributed to or for the benefit of any third party without prior written consent of  Transmed (China) Co., Ltd..</t>
        </is>
      </c>
      <c r="B57" s="396" t="n"/>
      <c r="C57" s="396" t="n"/>
      <c r="D57" s="396" t="n"/>
      <c r="E57" s="396" t="n"/>
      <c r="F57" s="396" t="n"/>
      <c r="G57" s="396" t="n"/>
      <c r="H57" s="396" t="n"/>
      <c r="I57" s="396" t="n"/>
      <c r="J57" s="396" t="n"/>
      <c r="K57" s="396" t="n"/>
      <c r="L57" s="396" t="n"/>
      <c r="M57" s="396" t="n"/>
      <c r="N57" s="396" t="n"/>
      <c r="O57" s="396" t="n"/>
      <c r="P57" s="396" t="n"/>
      <c r="Q57" s="396" t="n"/>
      <c r="R57" s="396" t="n"/>
      <c r="S57" s="396" t="n"/>
    </row>
    <row r="58"/>
  </sheetData>
  <mergeCells count="146">
    <mergeCell ref="E8:E9"/>
    <mergeCell ref="P34:P35"/>
    <mergeCell ref="A16:A17"/>
    <mergeCell ref="C16:C17"/>
    <mergeCell ref="H34:H35"/>
    <mergeCell ref="B52:F52"/>
    <mergeCell ref="I16:J16"/>
    <mergeCell ref="H36:H37"/>
    <mergeCell ref="D16:D17"/>
    <mergeCell ref="J36:J37"/>
    <mergeCell ref="S34:S35"/>
    <mergeCell ref="O44:S44"/>
    <mergeCell ref="O31:S31"/>
    <mergeCell ref="B53:F53"/>
    <mergeCell ref="C22:S22"/>
    <mergeCell ref="A49:S49"/>
    <mergeCell ref="G50:I50"/>
    <mergeCell ref="B8:B10"/>
    <mergeCell ref="J53:M53"/>
    <mergeCell ref="G52:I52"/>
    <mergeCell ref="B24:B27"/>
    <mergeCell ref="H24:H25"/>
    <mergeCell ref="G44:G45"/>
    <mergeCell ref="I44:J44"/>
    <mergeCell ref="H8:H9"/>
    <mergeCell ref="J55:M55"/>
    <mergeCell ref="J24:J26"/>
    <mergeCell ref="C38:S38"/>
    <mergeCell ref="D34:D35"/>
    <mergeCell ref="N16:N17"/>
    <mergeCell ref="F34:F35"/>
    <mergeCell ref="N3:S3"/>
    <mergeCell ref="G36:G37"/>
    <mergeCell ref="M34:M35"/>
    <mergeCell ref="B54:F54"/>
    <mergeCell ref="C4:C5"/>
    <mergeCell ref="E4:E5"/>
    <mergeCell ref="F36:F37"/>
    <mergeCell ref="J34:J35"/>
    <mergeCell ref="B11:B12"/>
    <mergeCell ref="N14:S14"/>
    <mergeCell ref="B33:B35"/>
    <mergeCell ref="N1:S1"/>
    <mergeCell ref="A28:D30"/>
    <mergeCell ref="G55:I55"/>
    <mergeCell ref="C31:C32"/>
    <mergeCell ref="E31:E32"/>
    <mergeCell ref="G51:I51"/>
    <mergeCell ref="O4:S4"/>
    <mergeCell ref="B44:B45"/>
    <mergeCell ref="M24:M25"/>
    <mergeCell ref="G54:I54"/>
    <mergeCell ref="A1:D3"/>
    <mergeCell ref="C8:C9"/>
    <mergeCell ref="N44:N45"/>
    <mergeCell ref="L34:L35"/>
    <mergeCell ref="N31:N32"/>
    <mergeCell ref="B46:B48"/>
    <mergeCell ref="I34:I35"/>
    <mergeCell ref="K34:K35"/>
    <mergeCell ref="N51:S51"/>
    <mergeCell ref="O34:O35"/>
    <mergeCell ref="B16:B17"/>
    <mergeCell ref="N53:S53"/>
    <mergeCell ref="F24:F25"/>
    <mergeCell ref="A11:A12"/>
    <mergeCell ref="B31:B32"/>
    <mergeCell ref="N2:S2"/>
    <mergeCell ref="A8:A10"/>
    <mergeCell ref="G53:I53"/>
    <mergeCell ref="I36:I37"/>
    <mergeCell ref="N52:S52"/>
    <mergeCell ref="R34:R35"/>
    <mergeCell ref="A36:A37"/>
    <mergeCell ref="J51:M51"/>
    <mergeCell ref="C44:C45"/>
    <mergeCell ref="E44:E45"/>
    <mergeCell ref="N29:S29"/>
    <mergeCell ref="N13:S13"/>
    <mergeCell ref="E1:L3"/>
    <mergeCell ref="G24:G25"/>
    <mergeCell ref="E13:L15"/>
    <mergeCell ref="C36:C37"/>
    <mergeCell ref="I24:I25"/>
    <mergeCell ref="N15:S15"/>
    <mergeCell ref="A4:A5"/>
    <mergeCell ref="B36:B37"/>
    <mergeCell ref="A57:S58"/>
    <mergeCell ref="E16:E17"/>
    <mergeCell ref="G16:G17"/>
    <mergeCell ref="N54:S54"/>
    <mergeCell ref="B4:B5"/>
    <mergeCell ref="N41:S41"/>
    <mergeCell ref="N50:S50"/>
    <mergeCell ref="N4:N5"/>
    <mergeCell ref="A56:S56"/>
    <mergeCell ref="D31:D32"/>
    <mergeCell ref="E41:L43"/>
    <mergeCell ref="L36:L37"/>
    <mergeCell ref="A31:A32"/>
    <mergeCell ref="B19:B21"/>
    <mergeCell ref="B50:F50"/>
    <mergeCell ref="A24:A27"/>
    <mergeCell ref="C24:C27"/>
    <mergeCell ref="N43:S43"/>
    <mergeCell ref="K36:K37"/>
    <mergeCell ref="N42:S42"/>
    <mergeCell ref="A33:A35"/>
    <mergeCell ref="J50:M50"/>
    <mergeCell ref="E34:E35"/>
    <mergeCell ref="G34:G35"/>
    <mergeCell ref="L24:L25"/>
    <mergeCell ref="A13:D15"/>
    <mergeCell ref="J52:M52"/>
    <mergeCell ref="M31:M32"/>
    <mergeCell ref="D4:D5"/>
    <mergeCell ref="N28:S28"/>
    <mergeCell ref="M16:M17"/>
    <mergeCell ref="A19:A21"/>
    <mergeCell ref="N24:N26"/>
    <mergeCell ref="C19:C21"/>
    <mergeCell ref="C11:C12"/>
    <mergeCell ref="E28:L30"/>
    <mergeCell ref="M36:M37"/>
    <mergeCell ref="N30:S30"/>
    <mergeCell ref="C40:S40"/>
    <mergeCell ref="Q34:Q35"/>
    <mergeCell ref="O16:S16"/>
    <mergeCell ref="G4:G5"/>
    <mergeCell ref="N34:N35"/>
    <mergeCell ref="N55:S55"/>
    <mergeCell ref="A41:D43"/>
    <mergeCell ref="A44:A45"/>
    <mergeCell ref="C23:S23"/>
    <mergeCell ref="I4:J4"/>
    <mergeCell ref="M4:M5"/>
    <mergeCell ref="B55:F55"/>
    <mergeCell ref="M44:M45"/>
    <mergeCell ref="B51:F51"/>
    <mergeCell ref="K24:K25"/>
    <mergeCell ref="A46:A48"/>
    <mergeCell ref="J54:M54"/>
    <mergeCell ref="I31:J31"/>
    <mergeCell ref="G31:G32"/>
    <mergeCell ref="E24:E25"/>
    <mergeCell ref="D44:D45"/>
  </mergeCells>
  <pageMargins left="0.7" right="0.7" top="0.75" bottom="0.75" header="0.3" footer="0.3"/>
  <pageSetup orientation="landscape" paperSize="9" scale="65"/>
  <rowBreaks count="3" manualBreakCount="3">
    <brk id="12" min="0" max="16383" man="1"/>
    <brk id="27" min="0" max="16383" man="1"/>
    <brk id="40" min="0" max="16383" man="1"/>
  </rowBreaks>
</worksheet>
</file>

<file path=xl/worksheets/sheet8.xml><?xml version="1.0" encoding="utf-8"?>
<worksheet xmlns="http://schemas.openxmlformats.org/spreadsheetml/2006/main">
  <sheetPr>
    <outlinePr summaryBelow="1" summaryRight="1"/>
    <pageSetUpPr/>
  </sheetPr>
  <dimension ref="A1:S76"/>
  <sheetViews>
    <sheetView view="pageBreakPreview" zoomScale="55" zoomScaleNormal="100" zoomScaleSheetLayoutView="55" workbookViewId="0">
      <selection activeCell="I6" sqref="I6"/>
    </sheetView>
  </sheetViews>
  <sheetFormatPr baseColWidth="8" defaultColWidth="9.1796875" defaultRowHeight="15"/>
  <cols>
    <col width="4.453125" customWidth="1" style="120" min="1" max="1"/>
    <col width="10.81640625" customWidth="1" style="107" min="2" max="2"/>
    <col width="14.81640625" customWidth="1" style="107" min="3" max="3"/>
    <col width="18.26953125" customWidth="1" style="107" min="4" max="4"/>
    <col width="15.54296875" customWidth="1" style="107" min="5" max="5"/>
    <col width="7.1796875" customWidth="1" style="120" min="6" max="6"/>
    <col width="16.54296875" customWidth="1" style="108" min="7" max="7"/>
    <col width="6.54296875" customWidth="1" style="120" min="8" max="8"/>
    <col width="21.81640625" customWidth="1" style="107" min="9" max="9"/>
    <col width="15.54296875" customWidth="1" style="107" min="10" max="10"/>
    <col width="6.54296875" customWidth="1" style="120" min="11" max="11"/>
    <col width="9.54296875" customWidth="1" style="120" min="12" max="12"/>
    <col width="14.7265625" customWidth="1" style="107" min="13" max="13"/>
    <col width="6.54296875" customWidth="1" style="107" min="14" max="14"/>
    <col width="13.7265625" customWidth="1" style="107" min="15" max="15"/>
    <col width="4.54296875" customWidth="1" style="107" min="16" max="18"/>
    <col width="5" customWidth="1" style="107" min="19" max="19"/>
    <col width="9.1796875" customWidth="1" style="107" min="20" max="16384"/>
  </cols>
  <sheetData>
    <row r="1" ht="25" customFormat="1" customHeight="1" s="105">
      <c r="A1" s="309" t="n"/>
      <c r="B1" s="396" t="n"/>
      <c r="C1" s="396" t="n"/>
      <c r="D1" s="397" t="n"/>
      <c r="E1" s="310" t="inlineStr">
        <is>
          <t>Single-use Video Pancreaticobiliary Scope PFMEA （G06 EU）</t>
        </is>
      </c>
      <c r="F1" s="396" t="n"/>
      <c r="G1" s="396" t="n"/>
      <c r="H1" s="396" t="n"/>
      <c r="I1" s="396" t="n"/>
      <c r="J1" s="396" t="n"/>
      <c r="K1" s="396" t="n"/>
      <c r="L1" s="397" t="n"/>
      <c r="M1" s="113" t="inlineStr">
        <is>
          <t xml:space="preserve">File No.           </t>
        </is>
      </c>
      <c r="N1" s="347">
        <f>封面!L1</f>
        <v/>
      </c>
      <c r="O1" s="405" t="n"/>
      <c r="P1" s="405" t="n"/>
      <c r="Q1" s="405" t="n"/>
      <c r="R1" s="405" t="n"/>
      <c r="S1" s="399" t="n"/>
    </row>
    <row r="2" ht="25" customFormat="1" customHeight="1" s="105">
      <c r="A2" s="400" t="n"/>
      <c r="D2" s="401" t="n"/>
      <c r="E2" s="400" t="n"/>
      <c r="L2" s="401" t="n"/>
      <c r="M2" s="113" t="inlineStr">
        <is>
          <t xml:space="preserve">Rev:                </t>
        </is>
      </c>
      <c r="N2" s="347">
        <f>封面!L2</f>
        <v/>
      </c>
      <c r="O2" s="405" t="n"/>
      <c r="P2" s="405" t="n"/>
      <c r="Q2" s="405" t="n"/>
      <c r="R2" s="405" t="n"/>
      <c r="S2" s="399" t="n"/>
    </row>
    <row r="3" ht="25" customFormat="1" customHeight="1" s="105">
      <c r="A3" s="402" t="n"/>
      <c r="B3" s="403" t="n"/>
      <c r="C3" s="403" t="n"/>
      <c r="D3" s="404" t="n"/>
      <c r="E3" s="402" t="n"/>
      <c r="F3" s="403" t="n"/>
      <c r="G3" s="403" t="n"/>
      <c r="H3" s="403" t="n"/>
      <c r="I3" s="403" t="n"/>
      <c r="J3" s="403" t="n"/>
      <c r="K3" s="403" t="n"/>
      <c r="L3" s="404" t="n"/>
      <c r="M3" s="114" t="inlineStr">
        <is>
          <t xml:space="preserve">Page     of            
</t>
        </is>
      </c>
      <c r="N3" s="265" t="inlineStr">
        <is>
          <t>Page 6 of 14</t>
        </is>
      </c>
      <c r="O3" s="405" t="n"/>
      <c r="P3" s="405" t="n"/>
      <c r="Q3" s="405" t="n"/>
      <c r="R3" s="405" t="n"/>
      <c r="S3" s="399" t="n"/>
    </row>
    <row r="4" ht="36" customFormat="1" customHeight="1" s="105">
      <c r="A4" s="315" t="inlineStr">
        <is>
          <t>N0.</t>
        </is>
      </c>
      <c r="B4" s="315" t="inlineStr">
        <is>
          <t xml:space="preserve">
Process Name</t>
        </is>
      </c>
      <c r="C4" s="315" t="inlineStr">
        <is>
          <t xml:space="preserve">
Functional requirements</t>
        </is>
      </c>
      <c r="D4" s="315" t="inlineStr">
        <is>
          <t xml:space="preserve">
FMEA</t>
        </is>
      </c>
      <c r="E4" s="315" t="inlineStr">
        <is>
          <t>Potential Effect of Failure</t>
        </is>
      </c>
      <c r="F4" s="315" t="inlineStr">
        <is>
          <t>severity</t>
        </is>
      </c>
      <c r="G4" s="315" t="inlineStr">
        <is>
          <t>Potential failure causes/mechanisms</t>
        </is>
      </c>
      <c r="H4" s="315" t="inlineStr">
        <is>
          <t>frequency</t>
        </is>
      </c>
      <c r="I4" s="315" t="inlineStr">
        <is>
          <t>Current process control</t>
        </is>
      </c>
      <c r="J4" s="399" t="n"/>
      <c r="K4" s="315" t="inlineStr">
        <is>
          <t>detectivity</t>
        </is>
      </c>
      <c r="L4" s="315" t="inlineStr">
        <is>
          <t>Risk order number</t>
        </is>
      </c>
      <c r="M4" s="315" t="inlineStr">
        <is>
          <t>Suggested corrective/preventive measures</t>
        </is>
      </c>
      <c r="N4" s="315" t="inlineStr">
        <is>
          <t>Dept.</t>
        </is>
      </c>
      <c r="O4" s="315" t="inlineStr">
        <is>
          <t xml:space="preserve"> Improved</t>
        </is>
      </c>
      <c r="P4" s="405" t="n"/>
      <c r="Q4" s="405" t="n"/>
      <c r="R4" s="405" t="n"/>
      <c r="S4" s="399" t="n"/>
    </row>
    <row r="5" ht="23" customFormat="1" customHeight="1" s="105">
      <c r="A5" s="406" t="n"/>
      <c r="B5" s="406" t="n"/>
      <c r="C5" s="406" t="n"/>
      <c r="D5" s="406" t="n"/>
      <c r="E5" s="406" t="n"/>
      <c r="F5" s="315" t="inlineStr">
        <is>
          <t>S</t>
        </is>
      </c>
      <c r="G5" s="406" t="n"/>
      <c r="H5" s="315" t="inlineStr">
        <is>
          <t>O</t>
        </is>
      </c>
      <c r="I5" s="315" t="inlineStr">
        <is>
          <t xml:space="preserve"> Prevent</t>
        </is>
      </c>
      <c r="J5" s="315" t="inlineStr">
        <is>
          <t xml:space="preserve"> Detection</t>
        </is>
      </c>
      <c r="K5" s="315" t="inlineStr">
        <is>
          <t>D</t>
        </is>
      </c>
      <c r="L5" s="315" t="inlineStr">
        <is>
          <t>RPN</t>
        </is>
      </c>
      <c r="M5" s="406" t="n"/>
      <c r="N5" s="406" t="n"/>
      <c r="O5" s="165" t="inlineStr">
        <is>
          <t>Implementation of measures</t>
        </is>
      </c>
      <c r="P5" s="315" t="inlineStr">
        <is>
          <t>S</t>
        </is>
      </c>
      <c r="Q5" s="315" t="inlineStr">
        <is>
          <t>O</t>
        </is>
      </c>
      <c r="R5" s="315" t="inlineStr">
        <is>
          <t>D</t>
        </is>
      </c>
      <c r="S5" s="315" t="inlineStr">
        <is>
          <t>RPN</t>
        </is>
      </c>
    </row>
    <row r="6" ht="249.75" customFormat="1" customHeight="1" s="105">
      <c r="A6" s="168" t="inlineStr">
        <is>
          <t>1</t>
        </is>
      </c>
      <c r="B6" s="325" t="inlineStr">
        <is>
          <t>cleaning</t>
        </is>
      </c>
      <c r="C6" s="330" t="inlineStr">
        <is>
          <t xml:space="preserve">
1. The surface of the material after washing and drying is clean, smooth, without residual impurities, no water stains
2. The initial contamination bacteria meet the requirements
3. Conductivity, PH, TOC of purified water after cleaning meets the standard of purified water.</t>
        </is>
      </c>
      <c r="D6" s="330" t="inlineStr">
        <is>
          <t>1. Surface with impurities or water residue
2. Initial contamination bacteria exceed the standard</t>
        </is>
      </c>
      <c r="E6" s="330" t="inlineStr">
        <is>
          <t>1. May lead to patient infections</t>
        </is>
      </c>
      <c r="F6" s="325" t="n">
        <v>3</v>
      </c>
      <c r="G6" s="330" t="inlineStr">
        <is>
          <t>1. Cleaning equipment damage, resulting in reduced cleaning effect
2. A cleaning material exceeds the specified quantity
3. Cleaning parameters are not reasonable</t>
        </is>
      </c>
      <c r="H6" s="325" t="n">
        <v>3</v>
      </c>
      <c r="I6" s="330" t="inlineStr">
        <is>
          <t>1. Point inspection before the use of equipment
2. Specify the maximum number of cleaning in the process regulations
3. Clear cleaning parameters and precautions in the process regulations</t>
        </is>
      </c>
      <c r="J6" s="330" t="inlineStr">
        <is>
          <t>1. Visualize the appearance; use a dust-free cloth to wipe and observe whether the dust-free cloth is dirty or not
2. Expand the acidity and alkalinity test and initial contamination bacteria test in the cleaning confirmation.</t>
        </is>
      </c>
      <c r="K6" s="325" t="n">
        <v>4</v>
      </c>
      <c r="L6" s="325" t="n">
        <v>24</v>
      </c>
      <c r="M6" s="330" t="inlineStr">
        <is>
          <t>Critical Processes
Specialized processes
Perform cleaning validation or cleaning assessment</t>
        </is>
      </c>
      <c r="N6" s="330" t="inlineStr">
        <is>
          <t>Visualization R&amp;D Department</t>
        </is>
      </c>
      <c r="O6" s="330" t="inlineStr">
        <is>
          <t>MTN-1007620 OQ assessment Report for Single-use Video Pancreaticobiliary Scope</t>
        </is>
      </c>
      <c r="P6" s="330" t="n">
        <v>3</v>
      </c>
      <c r="Q6" s="330" t="n">
        <v>1</v>
      </c>
      <c r="R6" s="330" t="n">
        <v>4</v>
      </c>
      <c r="S6" s="330" t="n">
        <v>12</v>
      </c>
    </row>
    <row r="7" ht="224.25" customFormat="1" customHeight="1" s="407">
      <c r="A7" s="340" t="inlineStr">
        <is>
          <t>2</t>
        </is>
      </c>
      <c r="B7" s="330" t="inlineStr">
        <is>
          <t>Heat sink assembly</t>
        </is>
      </c>
      <c r="C7" s="330" t="inlineStr">
        <is>
          <t>光学性能满足要求Optical performance meets requirements</t>
        </is>
      </c>
      <c r="D7" s="348" t="inlineStr">
        <is>
          <t>1. The cluster tube does not reach the designated position;
2.LED is damaged
3.LED loose</t>
        </is>
      </c>
      <c r="E7" s="348" t="inlineStr">
        <is>
          <t>1. Luminous flux cannot be satisfied;
2.LED does not light up or the light color is not normal</t>
        </is>
      </c>
      <c r="F7" s="349" t="n">
        <v>3</v>
      </c>
      <c r="G7" s="348" t="inlineStr">
        <is>
          <t>1. The cluster tube is not installed to the bottom;    
2.LED damaged during installation
3. Loose threads</t>
        </is>
      </c>
      <c r="H7" s="349" t="n">
        <v>2</v>
      </c>
      <c r="I7" s="348" t="inlineStr">
        <is>
          <t>1. After installation, make sure that the step surface of the cluster tube fits the end surface of the heat sink;
2. Check that the lamp powder does not fall off/not bright before LED installation, and avoid contacting the lamp powder position during installation 3. Confirm that the threads should be tightened before installation</t>
        </is>
      </c>
      <c r="J7" s="348" t="inlineStr">
        <is>
          <t>1. Visualize the whole inspection;
2. Connect the imaging controller to confirm that the LED light board emits light normally;
3. Check the light board, screws with or without shaking</t>
        </is>
      </c>
      <c r="K7" s="349" t="n">
        <v>2</v>
      </c>
      <c r="L7" s="325" t="n">
        <v>12</v>
      </c>
      <c r="M7" s="330" t="inlineStr">
        <is>
          <t>none</t>
        </is>
      </c>
      <c r="N7" s="325" t="inlineStr">
        <is>
          <t>/</t>
        </is>
      </c>
      <c r="O7" s="325" t="inlineStr">
        <is>
          <t>/</t>
        </is>
      </c>
      <c r="P7" s="325" t="inlineStr">
        <is>
          <t>/</t>
        </is>
      </c>
      <c r="Q7" s="325" t="inlineStr">
        <is>
          <t>/</t>
        </is>
      </c>
      <c r="R7" s="325" t="inlineStr">
        <is>
          <t>/</t>
        </is>
      </c>
      <c r="S7" s="325" t="inlineStr">
        <is>
          <t>/</t>
        </is>
      </c>
    </row>
    <row r="8" ht="25" customFormat="1" customHeight="1" s="105">
      <c r="A8" s="309" t="n"/>
      <c r="B8" s="396" t="n"/>
      <c r="C8" s="396" t="n"/>
      <c r="D8" s="397" t="n"/>
      <c r="E8" s="310" t="inlineStr">
        <is>
          <t>Single-use Video Pancreaticobiliary Scope PFMEA （G06 EU）</t>
        </is>
      </c>
      <c r="F8" s="396" t="n"/>
      <c r="G8" s="396" t="n"/>
      <c r="H8" s="396" t="n"/>
      <c r="I8" s="396" t="n"/>
      <c r="J8" s="396" t="n"/>
      <c r="K8" s="396" t="n"/>
      <c r="L8" s="397" t="n"/>
      <c r="M8" s="113" t="inlineStr">
        <is>
          <t xml:space="preserve">File No.           </t>
        </is>
      </c>
      <c r="N8" s="347">
        <f>封面!$L$1</f>
        <v/>
      </c>
      <c r="O8" s="405" t="n"/>
      <c r="P8" s="405" t="n"/>
      <c r="Q8" s="405" t="n"/>
      <c r="R8" s="405" t="n"/>
      <c r="S8" s="399" t="n"/>
    </row>
    <row r="9" ht="25" customFormat="1" customHeight="1" s="105">
      <c r="A9" s="400" t="n"/>
      <c r="D9" s="401" t="n"/>
      <c r="E9" s="400" t="n"/>
      <c r="L9" s="401" t="n"/>
      <c r="M9" s="113" t="inlineStr">
        <is>
          <t xml:space="preserve">Rev:                </t>
        </is>
      </c>
      <c r="N9" s="347">
        <f>封面!$L$2</f>
        <v/>
      </c>
      <c r="O9" s="405" t="n"/>
      <c r="P9" s="405" t="n"/>
      <c r="Q9" s="405" t="n"/>
      <c r="R9" s="405" t="n"/>
      <c r="S9" s="399" t="n"/>
    </row>
    <row r="10" ht="25" customFormat="1" customHeight="1" s="105">
      <c r="A10" s="402" t="n"/>
      <c r="B10" s="403" t="n"/>
      <c r="C10" s="403" t="n"/>
      <c r="D10" s="404" t="n"/>
      <c r="E10" s="402" t="n"/>
      <c r="F10" s="403" t="n"/>
      <c r="G10" s="403" t="n"/>
      <c r="H10" s="403" t="n"/>
      <c r="I10" s="403" t="n"/>
      <c r="J10" s="403" t="n"/>
      <c r="K10" s="403" t="n"/>
      <c r="L10" s="404" t="n"/>
      <c r="M10" s="114" t="inlineStr">
        <is>
          <t xml:space="preserve">Page     of            
</t>
        </is>
      </c>
      <c r="N10" s="265" t="inlineStr">
        <is>
          <t>Page 7 of 14</t>
        </is>
      </c>
      <c r="O10" s="405" t="n"/>
      <c r="P10" s="405" t="n"/>
      <c r="Q10" s="405" t="n"/>
      <c r="R10" s="405" t="n"/>
      <c r="S10" s="399" t="n"/>
    </row>
    <row r="11" ht="30.75" customFormat="1" customHeight="1" s="105">
      <c r="A11" s="315" t="inlineStr">
        <is>
          <t>N0.</t>
        </is>
      </c>
      <c r="B11" s="315" t="inlineStr">
        <is>
          <t xml:space="preserve">
Process Name</t>
        </is>
      </c>
      <c r="C11" s="315" t="inlineStr">
        <is>
          <t xml:space="preserve">
Functional requirements</t>
        </is>
      </c>
      <c r="D11" s="315" t="inlineStr">
        <is>
          <t xml:space="preserve">
FMEA</t>
        </is>
      </c>
      <c r="E11" s="315" t="inlineStr">
        <is>
          <t>Potential Effect of Failure</t>
        </is>
      </c>
      <c r="F11" s="315" t="inlineStr">
        <is>
          <t>severity</t>
        </is>
      </c>
      <c r="G11" s="315" t="inlineStr">
        <is>
          <t>Potential failure causes/mechanisms</t>
        </is>
      </c>
      <c r="H11" s="315" t="inlineStr">
        <is>
          <t>frequency</t>
        </is>
      </c>
      <c r="I11" s="315" t="inlineStr">
        <is>
          <t>Current process control</t>
        </is>
      </c>
      <c r="J11" s="399" t="n"/>
      <c r="K11" s="315" t="inlineStr">
        <is>
          <t>detectivity</t>
        </is>
      </c>
      <c r="L11" s="315" t="inlineStr">
        <is>
          <t>Risk order number</t>
        </is>
      </c>
      <c r="M11" s="315" t="inlineStr">
        <is>
          <t>Suggested corrective/preventive measures</t>
        </is>
      </c>
      <c r="N11" s="315" t="inlineStr">
        <is>
          <t>Dept.</t>
        </is>
      </c>
      <c r="O11" s="315" t="inlineStr">
        <is>
          <t xml:space="preserve"> Improved</t>
        </is>
      </c>
      <c r="P11" s="405" t="n"/>
      <c r="Q11" s="405" t="n"/>
      <c r="R11" s="405" t="n"/>
      <c r="S11" s="399" t="n"/>
    </row>
    <row r="12" ht="23" customFormat="1" customHeight="1" s="105">
      <c r="A12" s="406" t="n"/>
      <c r="B12" s="406" t="n"/>
      <c r="C12" s="406" t="n"/>
      <c r="D12" s="406" t="n"/>
      <c r="E12" s="406" t="n"/>
      <c r="F12" s="315" t="inlineStr">
        <is>
          <t>S</t>
        </is>
      </c>
      <c r="G12" s="406" t="n"/>
      <c r="H12" s="315" t="inlineStr">
        <is>
          <t>O</t>
        </is>
      </c>
      <c r="I12" s="315" t="inlineStr">
        <is>
          <t xml:space="preserve"> Prevent</t>
        </is>
      </c>
      <c r="J12" s="315" t="inlineStr">
        <is>
          <t xml:space="preserve"> Detection</t>
        </is>
      </c>
      <c r="K12" s="315" t="inlineStr">
        <is>
          <t>D</t>
        </is>
      </c>
      <c r="L12" s="315" t="inlineStr">
        <is>
          <t>RPN</t>
        </is>
      </c>
      <c r="M12" s="406" t="n"/>
      <c r="N12" s="406" t="n"/>
      <c r="O12" s="165" t="inlineStr">
        <is>
          <t>Implementation of measures</t>
        </is>
      </c>
      <c r="P12" s="315" t="inlineStr">
        <is>
          <t>S</t>
        </is>
      </c>
      <c r="Q12" s="315" t="inlineStr">
        <is>
          <t>O</t>
        </is>
      </c>
      <c r="R12" s="315" t="inlineStr">
        <is>
          <t>D</t>
        </is>
      </c>
      <c r="S12" s="315" t="inlineStr">
        <is>
          <t>RPN</t>
        </is>
      </c>
    </row>
    <row r="13" ht="228" customFormat="1" customHeight="1" s="105">
      <c r="A13" s="340" t="inlineStr">
        <is>
          <t>3</t>
        </is>
      </c>
      <c r="B13" s="325" t="inlineStr">
        <is>
          <t>Module Ground Soldering</t>
        </is>
      </c>
      <c r="C13" s="330" t="inlineStr">
        <is>
          <t>1.The product can display the image normally
2.The UV adhesive covers the welding of the module line completely.</t>
        </is>
      </c>
      <c r="D13" s="348" t="inlineStr">
        <is>
          <t>Product cannot be imaged, or is imaged abnormally</t>
        </is>
      </c>
      <c r="E13" s="348" t="inlineStr">
        <is>
          <t>1. the next process is interrupted    2. the product cannot be imaged and the user is very dissatisfied</t>
        </is>
      </c>
      <c r="F13" s="349" t="n">
        <v>3</v>
      </c>
      <c r="G13" s="348" t="inlineStr">
        <is>
          <t xml:space="preserve">
1. Lens wire welding with false welding, welding line sequence error, welding method is not clear
2. Stripping damage to the core</t>
        </is>
      </c>
      <c r="H13" s="349" t="n">
        <v>2</v>
      </c>
      <c r="I13" s="348" t="inlineStr">
        <is>
          <t>The process specifies the welding line sequence, the inspection method after welding, and also specifies the welding operation.</t>
        </is>
      </c>
      <c r="J13" s="348" t="inlineStr">
        <is>
          <t>Connect the welded plug connector to the image test tooling, observe whether there is an image, whether there is any abnormality, visual full inspection</t>
        </is>
      </c>
      <c r="K13" s="349" t="n">
        <v>2</v>
      </c>
      <c r="L13" s="325" t="n">
        <v>12</v>
      </c>
      <c r="M13" s="330" t="inlineStr">
        <is>
          <t>Key processes</t>
        </is>
      </c>
      <c r="N13" s="330" t="inlineStr">
        <is>
          <t>Visualization R&amp;D Department</t>
        </is>
      </c>
      <c r="O13" s="330" t="inlineStr">
        <is>
          <t>MTN-1007620 OQ assessment Report for Single-use Video Pancreaticobiliary Scope</t>
        </is>
      </c>
      <c r="P13" s="325" t="n">
        <v>3</v>
      </c>
      <c r="Q13" s="325" t="n">
        <v>1</v>
      </c>
      <c r="R13" s="325" t="n">
        <v>2</v>
      </c>
      <c r="S13" s="325" t="n">
        <v>6</v>
      </c>
    </row>
    <row r="14" ht="81" customFormat="1" customHeight="1" s="105">
      <c r="A14" s="408" t="n"/>
      <c r="B14" s="408" t="n"/>
      <c r="C14" s="406" t="n"/>
      <c r="D14" s="348" t="inlineStr">
        <is>
          <t>No or very little UV adhesive coverage on the weld.
UV adhesive not cured</t>
        </is>
      </c>
      <c r="E14" s="406" t="n"/>
      <c r="F14" s="349" t="n">
        <v>2</v>
      </c>
      <c r="G14" s="348" t="inlineStr">
        <is>
          <t>Documentation does not specify UV adhesive coverage status</t>
        </is>
      </c>
      <c r="H14" s="406" t="n"/>
      <c r="I14" s="348" t="inlineStr">
        <is>
          <t>Process clear UV adhesive coverage requirements, the selection of reasonable curing parameters</t>
        </is>
      </c>
      <c r="J14" s="348" t="inlineStr">
        <is>
          <t>Visual inspection and hand-touching of the UV adhesive cover for non-stickiness</t>
        </is>
      </c>
      <c r="K14" s="349" t="n">
        <v>2</v>
      </c>
      <c r="L14" s="325" t="n">
        <v>8</v>
      </c>
      <c r="M14" s="330" t="inlineStr">
        <is>
          <t>none</t>
        </is>
      </c>
      <c r="N14" s="325" t="inlineStr">
        <is>
          <t>/</t>
        </is>
      </c>
      <c r="O14" s="325" t="inlineStr">
        <is>
          <t>/</t>
        </is>
      </c>
      <c r="P14" s="325" t="inlineStr">
        <is>
          <t>/</t>
        </is>
      </c>
      <c r="Q14" s="325" t="inlineStr">
        <is>
          <t>/</t>
        </is>
      </c>
      <c r="R14" s="325" t="inlineStr">
        <is>
          <t>/</t>
        </is>
      </c>
      <c r="S14" s="325" t="inlineStr">
        <is>
          <t>/</t>
        </is>
      </c>
    </row>
    <row r="15" ht="127.5" customFormat="1" customHeight="1" s="105">
      <c r="A15" s="406" t="n"/>
      <c r="B15" s="406" t="n"/>
      <c r="C15" s="330" t="inlineStr">
        <is>
          <t>Preparation of reticule, limit block and TYPC connection</t>
        </is>
      </c>
      <c r="D15" s="348" t="inlineStr">
        <is>
          <t>False soldering or heat shrink tubing not tightened</t>
        </is>
      </c>
      <c r="E15" s="348" t="inlineStr">
        <is>
          <t>Unstable output video signal</t>
        </is>
      </c>
      <c r="F15" s="349" t="n">
        <v>2</v>
      </c>
      <c r="G15" s="348" t="inlineStr">
        <is>
          <t>Void soldering occurs</t>
        </is>
      </c>
      <c r="H15" s="349" t="n">
        <v>1</v>
      </c>
      <c r="I15" s="348" t="inlineStr">
        <is>
          <t>Increased self-testing: light pulling does not detach, heat-shrinkable tubing covers the weld position without slipping</t>
        </is>
      </c>
      <c r="J15" s="348" t="inlineStr">
        <is>
          <t>Full inspection of the welding position for full coverage, heat shrink tubing does not slide, light pull does not fall off</t>
        </is>
      </c>
      <c r="K15" s="349" t="n">
        <v>2</v>
      </c>
      <c r="L15" s="325" t="n">
        <v>4</v>
      </c>
      <c r="M15" s="330" t="inlineStr">
        <is>
          <t>none</t>
        </is>
      </c>
      <c r="N15" s="325" t="inlineStr">
        <is>
          <t>/</t>
        </is>
      </c>
      <c r="O15" s="325" t="inlineStr">
        <is>
          <t>/</t>
        </is>
      </c>
      <c r="P15" s="325" t="inlineStr">
        <is>
          <t>/</t>
        </is>
      </c>
      <c r="Q15" s="325" t="inlineStr">
        <is>
          <t>/</t>
        </is>
      </c>
      <c r="R15" s="325" t="inlineStr">
        <is>
          <t>/</t>
        </is>
      </c>
      <c r="S15" s="325" t="inlineStr">
        <is>
          <t>/</t>
        </is>
      </c>
    </row>
    <row r="16" ht="25" customFormat="1" customHeight="1" s="105">
      <c r="A16" s="309" t="n"/>
      <c r="B16" s="396" t="n"/>
      <c r="C16" s="396" t="n"/>
      <c r="D16" s="397" t="n"/>
      <c r="E16" s="310" t="inlineStr">
        <is>
          <t>Single-use Video Pancreaticobiliary Scope PFMEA （G06 EU）</t>
        </is>
      </c>
      <c r="F16" s="396" t="n"/>
      <c r="G16" s="396" t="n"/>
      <c r="H16" s="396" t="n"/>
      <c r="I16" s="396" t="n"/>
      <c r="J16" s="396" t="n"/>
      <c r="K16" s="396" t="n"/>
      <c r="L16" s="397" t="n"/>
      <c r="M16" s="113" t="inlineStr">
        <is>
          <t xml:space="preserve">File No.           </t>
        </is>
      </c>
      <c r="N16" s="347">
        <f>封面!$L$1</f>
        <v/>
      </c>
      <c r="O16" s="405" t="n"/>
      <c r="P16" s="405" t="n"/>
      <c r="Q16" s="405" t="n"/>
      <c r="R16" s="405" t="n"/>
      <c r="S16" s="399" t="n"/>
    </row>
    <row r="17" ht="25" customFormat="1" customHeight="1" s="105">
      <c r="A17" s="400" t="n"/>
      <c r="D17" s="401" t="n"/>
      <c r="E17" s="400" t="n"/>
      <c r="L17" s="401" t="n"/>
      <c r="M17" s="113" t="inlineStr">
        <is>
          <t xml:space="preserve">Rev:                </t>
        </is>
      </c>
      <c r="N17" s="347">
        <f>封面!$L$2</f>
        <v/>
      </c>
      <c r="O17" s="405" t="n"/>
      <c r="P17" s="405" t="n"/>
      <c r="Q17" s="405" t="n"/>
      <c r="R17" s="405" t="n"/>
      <c r="S17" s="399" t="n"/>
    </row>
    <row r="18" ht="25" customFormat="1" customHeight="1" s="105">
      <c r="A18" s="402" t="n"/>
      <c r="B18" s="403" t="n"/>
      <c r="C18" s="403" t="n"/>
      <c r="D18" s="404" t="n"/>
      <c r="E18" s="402" t="n"/>
      <c r="F18" s="403" t="n"/>
      <c r="G18" s="403" t="n"/>
      <c r="H18" s="403" t="n"/>
      <c r="I18" s="403" t="n"/>
      <c r="J18" s="403" t="n"/>
      <c r="K18" s="403" t="n"/>
      <c r="L18" s="404" t="n"/>
      <c r="M18" s="114" t="inlineStr">
        <is>
          <t xml:space="preserve">Page     of            
</t>
        </is>
      </c>
      <c r="N18" s="265" t="inlineStr">
        <is>
          <t>Page 8 of 14</t>
        </is>
      </c>
      <c r="O18" s="405" t="n"/>
      <c r="P18" s="405" t="n"/>
      <c r="Q18" s="405" t="n"/>
      <c r="R18" s="405" t="n"/>
      <c r="S18" s="399" t="n"/>
    </row>
    <row r="19" ht="33.75" customFormat="1" customHeight="1" s="105">
      <c r="A19" s="315" t="inlineStr">
        <is>
          <t>N0.</t>
        </is>
      </c>
      <c r="B19" s="315" t="inlineStr">
        <is>
          <t xml:space="preserve">
Process Name</t>
        </is>
      </c>
      <c r="C19" s="315" t="inlineStr">
        <is>
          <t xml:space="preserve">
Functional requirements</t>
        </is>
      </c>
      <c r="D19" s="315" t="inlineStr">
        <is>
          <t xml:space="preserve">
FMEA</t>
        </is>
      </c>
      <c r="E19" s="315" t="inlineStr">
        <is>
          <t>Potential Effect of Failure</t>
        </is>
      </c>
      <c r="F19" s="315" t="inlineStr">
        <is>
          <t>severity</t>
        </is>
      </c>
      <c r="G19" s="315" t="inlineStr">
        <is>
          <t>Potential failure causes/mechanisms</t>
        </is>
      </c>
      <c r="H19" s="315" t="inlineStr">
        <is>
          <t>frequency</t>
        </is>
      </c>
      <c r="I19" s="315" t="inlineStr">
        <is>
          <t>Current process control</t>
        </is>
      </c>
      <c r="J19" s="399" t="n"/>
      <c r="K19" s="315" t="inlineStr">
        <is>
          <t>detectivity</t>
        </is>
      </c>
      <c r="L19" s="315" t="inlineStr">
        <is>
          <t>Risk order number</t>
        </is>
      </c>
      <c r="M19" s="315" t="inlineStr">
        <is>
          <t>Suggested corrective/preventive measures</t>
        </is>
      </c>
      <c r="N19" s="315" t="inlineStr">
        <is>
          <t>Dept.</t>
        </is>
      </c>
      <c r="O19" s="315" t="inlineStr">
        <is>
          <t xml:space="preserve"> Improved</t>
        </is>
      </c>
      <c r="P19" s="405" t="n"/>
      <c r="Q19" s="405" t="n"/>
      <c r="R19" s="405" t="n"/>
      <c r="S19" s="399" t="n"/>
    </row>
    <row r="20" ht="23" customFormat="1" customHeight="1" s="105">
      <c r="A20" s="406" t="n"/>
      <c r="B20" s="406" t="n"/>
      <c r="C20" s="406" t="n"/>
      <c r="D20" s="406" t="n"/>
      <c r="E20" s="406" t="n"/>
      <c r="F20" s="315" t="inlineStr">
        <is>
          <t>S</t>
        </is>
      </c>
      <c r="G20" s="406" t="n"/>
      <c r="H20" s="315" t="inlineStr">
        <is>
          <t>O</t>
        </is>
      </c>
      <c r="I20" s="315" t="inlineStr">
        <is>
          <t xml:space="preserve"> Prevent</t>
        </is>
      </c>
      <c r="J20" s="315" t="inlineStr">
        <is>
          <t xml:space="preserve"> Detection</t>
        </is>
      </c>
      <c r="K20" s="315" t="inlineStr">
        <is>
          <t>D</t>
        </is>
      </c>
      <c r="L20" s="315" t="inlineStr">
        <is>
          <t>RPN</t>
        </is>
      </c>
      <c r="M20" s="406" t="n"/>
      <c r="N20" s="406" t="n"/>
      <c r="O20" s="165" t="inlineStr">
        <is>
          <t>Implementation of measures</t>
        </is>
      </c>
      <c r="P20" s="315" t="inlineStr">
        <is>
          <t>S</t>
        </is>
      </c>
      <c r="Q20" s="315" t="inlineStr">
        <is>
          <t>O</t>
        </is>
      </c>
      <c r="R20" s="315" t="inlineStr">
        <is>
          <t>D</t>
        </is>
      </c>
      <c r="S20" s="315" t="inlineStr">
        <is>
          <t>RPN</t>
        </is>
      </c>
    </row>
    <row r="21" ht="79.5" customFormat="1" customHeight="1" s="407">
      <c r="A21" s="340" t="inlineStr">
        <is>
          <t>4</t>
        </is>
      </c>
      <c r="B21" s="330" t="inlineStr">
        <is>
          <t xml:space="preserve">Lower Shell Assembly Installation
</t>
        </is>
      </c>
      <c r="C21" s="330" t="inlineStr">
        <is>
          <t>1. The instrument clamp channel can pass through the corresponding specification guidewire.
2. The suction valve is working properly, and there is no leakage of suction and liquid injection.
3. The valve body, suction tube and Y-type tee connected to the liquid line are installed in the correct position.
4. The imaging catheter does not rotate relative to the handle.</t>
        </is>
      </c>
      <c r="D21" s="348" t="inlineStr">
        <is>
          <t>Instrument lumen deformation</t>
        </is>
      </c>
      <c r="E21" s="348" t="inlineStr">
        <is>
          <t>The instruments can't get through.</t>
        </is>
      </c>
      <c r="F21" s="349" t="n">
        <v>3</v>
      </c>
      <c r="G21" s="348" t="inlineStr">
        <is>
          <t>Extruded deformation of instrument lumen and Y-type tee connection</t>
        </is>
      </c>
      <c r="H21" s="349" t="n">
        <v>2</v>
      </c>
      <c r="I21" s="348" t="inlineStr">
        <is>
          <t>When installing, insert an arbor of the corresponding size into the support of the clamp pipe.</t>
        </is>
      </c>
      <c r="J21" s="348" t="inlineStr">
        <is>
          <t>Full inspection with corresponding specification guidewire after installation</t>
        </is>
      </c>
      <c r="K21" s="349" t="n">
        <v>2</v>
      </c>
      <c r="L21" s="325" t="n">
        <v>12</v>
      </c>
      <c r="M21" s="330" t="inlineStr">
        <is>
          <t>none</t>
        </is>
      </c>
      <c r="N21" s="325" t="inlineStr">
        <is>
          <t>/</t>
        </is>
      </c>
      <c r="O21" s="325" t="inlineStr">
        <is>
          <t>/</t>
        </is>
      </c>
      <c r="P21" s="325" t="inlineStr">
        <is>
          <t>/</t>
        </is>
      </c>
      <c r="Q21" s="325" t="inlineStr">
        <is>
          <t>/</t>
        </is>
      </c>
      <c r="R21" s="325" t="inlineStr">
        <is>
          <t>/</t>
        </is>
      </c>
      <c r="S21" s="325" t="inlineStr">
        <is>
          <t>/</t>
        </is>
      </c>
    </row>
    <row r="22" ht="279" customFormat="1" customHeight="1" s="407">
      <c r="A22" s="406" t="n"/>
      <c r="B22" s="406" t="n"/>
      <c r="C22" s="406" t="n"/>
      <c r="D22" s="348" t="inlineStr">
        <is>
          <t>1. Leakage during suction and injection
2. Liquid line tube is badly twisted, affecting suction volume
3. Imaging catheter is loose on the handle and can be rotated</t>
        </is>
      </c>
      <c r="E22" s="348" t="inlineStr">
        <is>
          <t>1. May lead to patient infection
2. Decreased suction function
3. Poor synchronization of handle and imaging catheter rotation</t>
        </is>
      </c>
      <c r="F22" s="349" t="n">
        <v>4</v>
      </c>
      <c r="G22" s="348" t="inlineStr">
        <is>
          <t>1. The glue is not coated in place, or the curing parameters are unreasonable.
2. The relative positions of the parts installed on both sides of the liquid line pipe are not correct, and the length of the liquid line pipe is too long.
3. Pressure plate is not pressed tightly</t>
        </is>
      </c>
      <c r="H22" s="349" t="n">
        <v>2</v>
      </c>
      <c r="I22" s="348" t="inlineStr">
        <is>
          <t>1. After curing, make sure the glue is coated on the whole circle, and choose reasonable curing parameters.
2. Clearly define the direction of the parts on both sides of the liquid line pipe, and make reasonable size of the liquid line pipe.
3. Install the screws until they do not move, and apply UV adhesive to the end surface of the tube and the pressure plate for curing.</t>
        </is>
      </c>
      <c r="J22" s="348" t="inlineStr">
        <is>
          <t>1. Gas tightness test
2. Visual inspection of the liquid line pipe for serious twisting and bending phenomenon
3. Confirm the size of the liquid line pipe with a steel ruler before installation.
4. Slightly rotate the tube to make sure that the tube does not rotate relative to the handle.</t>
        </is>
      </c>
      <c r="K22" s="349" t="n">
        <v>2</v>
      </c>
      <c r="L22" s="325" t="n">
        <v>8</v>
      </c>
      <c r="M22" s="330" t="inlineStr">
        <is>
          <t>none</t>
        </is>
      </c>
      <c r="N22" s="325" t="inlineStr">
        <is>
          <t>/</t>
        </is>
      </c>
      <c r="O22" s="325" t="inlineStr">
        <is>
          <t>/</t>
        </is>
      </c>
      <c r="P22" s="325" t="inlineStr">
        <is>
          <t>/</t>
        </is>
      </c>
      <c r="Q22" s="325" t="inlineStr">
        <is>
          <t>/</t>
        </is>
      </c>
      <c r="R22" s="325" t="inlineStr">
        <is>
          <t>/</t>
        </is>
      </c>
      <c r="S22" s="325" t="inlineStr">
        <is>
          <t>/</t>
        </is>
      </c>
    </row>
    <row r="23" ht="25" customFormat="1" customHeight="1" s="105">
      <c r="A23" s="309" t="n"/>
      <c r="B23" s="396" t="n"/>
      <c r="C23" s="396" t="n"/>
      <c r="D23" s="397" t="n"/>
      <c r="E23" s="310" t="inlineStr">
        <is>
          <t>Single-use Video Pancreaticobiliary Scope PFMEA （G06 EU）</t>
        </is>
      </c>
      <c r="F23" s="396" t="n"/>
      <c r="G23" s="396" t="n"/>
      <c r="H23" s="396" t="n"/>
      <c r="I23" s="396" t="n"/>
      <c r="J23" s="396" t="n"/>
      <c r="K23" s="396" t="n"/>
      <c r="L23" s="397" t="n"/>
      <c r="M23" s="113" t="inlineStr">
        <is>
          <t xml:space="preserve">File No.           </t>
        </is>
      </c>
      <c r="N23" s="347">
        <f>封面!$L$1</f>
        <v/>
      </c>
      <c r="O23" s="405" t="n"/>
      <c r="P23" s="405" t="n"/>
      <c r="Q23" s="405" t="n"/>
      <c r="R23" s="405" t="n"/>
      <c r="S23" s="399" t="n"/>
    </row>
    <row r="24" ht="25" customFormat="1" customHeight="1" s="105">
      <c r="A24" s="400" t="n"/>
      <c r="D24" s="401" t="n"/>
      <c r="E24" s="400" t="n"/>
      <c r="L24" s="401" t="n"/>
      <c r="M24" s="113" t="inlineStr">
        <is>
          <t xml:space="preserve">Rev:                </t>
        </is>
      </c>
      <c r="N24" s="347">
        <f>封面!$L$2</f>
        <v/>
      </c>
      <c r="O24" s="405" t="n"/>
      <c r="P24" s="405" t="n"/>
      <c r="Q24" s="405" t="n"/>
      <c r="R24" s="405" t="n"/>
      <c r="S24" s="399" t="n"/>
    </row>
    <row r="25" ht="25" customFormat="1" customHeight="1" s="105">
      <c r="A25" s="402" t="n"/>
      <c r="B25" s="403" t="n"/>
      <c r="C25" s="403" t="n"/>
      <c r="D25" s="404" t="n"/>
      <c r="E25" s="402" t="n"/>
      <c r="F25" s="403" t="n"/>
      <c r="G25" s="403" t="n"/>
      <c r="H25" s="403" t="n"/>
      <c r="I25" s="403" t="n"/>
      <c r="J25" s="403" t="n"/>
      <c r="K25" s="403" t="n"/>
      <c r="L25" s="404" t="n"/>
      <c r="M25" s="114" t="inlineStr">
        <is>
          <t xml:space="preserve">Page     of            
</t>
        </is>
      </c>
      <c r="N25" s="265" t="inlineStr">
        <is>
          <t>Page 9 of 14</t>
        </is>
      </c>
      <c r="O25" s="405" t="n"/>
      <c r="P25" s="405" t="n"/>
      <c r="Q25" s="405" t="n"/>
      <c r="R25" s="405" t="n"/>
      <c r="S25" s="399" t="n"/>
    </row>
    <row r="26" ht="33.75" customFormat="1" customHeight="1" s="105">
      <c r="A26" s="315" t="inlineStr">
        <is>
          <t>N0.</t>
        </is>
      </c>
      <c r="B26" s="315" t="inlineStr">
        <is>
          <t xml:space="preserve">
Process Name</t>
        </is>
      </c>
      <c r="C26" s="315" t="inlineStr">
        <is>
          <t xml:space="preserve">
Functional requirements</t>
        </is>
      </c>
      <c r="D26" s="315" t="inlineStr">
        <is>
          <t xml:space="preserve">
FMEA</t>
        </is>
      </c>
      <c r="E26" s="315" t="inlineStr">
        <is>
          <t>Potential Effect of Failure</t>
        </is>
      </c>
      <c r="F26" s="315" t="inlineStr">
        <is>
          <t>severity</t>
        </is>
      </c>
      <c r="G26" s="315" t="inlineStr">
        <is>
          <t>Potential failure causes/mechanisms</t>
        </is>
      </c>
      <c r="H26" s="315" t="inlineStr">
        <is>
          <t>frequency</t>
        </is>
      </c>
      <c r="I26" s="315" t="inlineStr">
        <is>
          <t>Current process control</t>
        </is>
      </c>
      <c r="J26" s="399" t="n"/>
      <c r="K26" s="315" t="inlineStr">
        <is>
          <t>detectivity</t>
        </is>
      </c>
      <c r="L26" s="315" t="inlineStr">
        <is>
          <t>Risk order number</t>
        </is>
      </c>
      <c r="M26" s="315" t="inlineStr">
        <is>
          <t>Suggested corrective/preventive measures</t>
        </is>
      </c>
      <c r="N26" s="315" t="inlineStr">
        <is>
          <t>Dept.</t>
        </is>
      </c>
      <c r="O26" s="315" t="inlineStr">
        <is>
          <t xml:space="preserve"> Improved</t>
        </is>
      </c>
      <c r="P26" s="405" t="n"/>
      <c r="Q26" s="405" t="n"/>
      <c r="R26" s="405" t="n"/>
      <c r="S26" s="399" t="n"/>
    </row>
    <row r="27" ht="23" customFormat="1" customHeight="1" s="105">
      <c r="A27" s="406" t="n"/>
      <c r="B27" s="406" t="n"/>
      <c r="C27" s="406" t="n"/>
      <c r="D27" s="406" t="n"/>
      <c r="E27" s="406" t="n"/>
      <c r="F27" s="315" t="inlineStr">
        <is>
          <t>S</t>
        </is>
      </c>
      <c r="G27" s="406" t="n"/>
      <c r="H27" s="315" t="inlineStr">
        <is>
          <t>O</t>
        </is>
      </c>
      <c r="I27" s="315" t="inlineStr">
        <is>
          <t xml:space="preserve"> Prevent</t>
        </is>
      </c>
      <c r="J27" s="315" t="inlineStr">
        <is>
          <t xml:space="preserve"> Detection</t>
        </is>
      </c>
      <c r="K27" s="315" t="inlineStr">
        <is>
          <t>D</t>
        </is>
      </c>
      <c r="L27" s="315" t="inlineStr">
        <is>
          <t>RPN</t>
        </is>
      </c>
      <c r="M27" s="406" t="n"/>
      <c r="N27" s="406" t="n"/>
      <c r="O27" s="165" t="inlineStr">
        <is>
          <t>Implementation of measures</t>
        </is>
      </c>
      <c r="P27" s="315" t="inlineStr">
        <is>
          <t>S</t>
        </is>
      </c>
      <c r="Q27" s="315" t="inlineStr">
        <is>
          <t>O</t>
        </is>
      </c>
      <c r="R27" s="315" t="inlineStr">
        <is>
          <t>D</t>
        </is>
      </c>
      <c r="S27" s="315" t="inlineStr">
        <is>
          <t>RPN</t>
        </is>
      </c>
    </row>
    <row r="28" ht="272" customFormat="1" customHeight="1" s="105">
      <c r="A28" s="342" t="inlineStr">
        <is>
          <t>5</t>
        </is>
      </c>
      <c r="B28" s="330" t="inlineStr">
        <is>
          <t>Rotor assembly</t>
        </is>
      </c>
      <c r="C28" s="330" t="inlineStr">
        <is>
          <t>1. Traction wire and fixed head connection force ≥ 15N
2. Steering without empty stroke; 3. No serious wrinkles in the outer cladding layer in the case of neutral (to ensure that the corresponding specifications of the gauge measurement to meet the requirements)
4. Correct steering direction and qualified angle</t>
        </is>
      </c>
      <c r="D28" s="330" t="inlineStr">
        <is>
          <t>1. The fixation tube is dislodged
2. Traction wire not taut; 3. Serpentine bone severely compressed</t>
        </is>
      </c>
      <c r="E28" s="330" t="inlineStr">
        <is>
          <t>1. Interruption of the next process 2. Failure of the steering function of the product, the user is very dissatisfied; 3. Bending part of the outer diameter exceeds the difference.</t>
        </is>
      </c>
      <c r="F28" s="325" t="n">
        <v>3</v>
      </c>
      <c r="G28" s="348" t="inlineStr">
        <is>
          <t>1. Incorrect riveting diameter or no press in place;
2. Too few traction wires in the tensioning screw disk;
3. Too much traction wire on the tensioning screw disk;
4. The reverse nut is not tightened.</t>
        </is>
      </c>
      <c r="H28" s="325" t="n">
        <v>2</v>
      </c>
      <c r="I28" s="330" t="inlineStr">
        <is>
          <t>1. Select the appropriate parameters through verification and require checking and spot-checking at each startup
2 and 3 design special tooling 
4. Installation of the reverse nut until the wrench is not able to unscrew it.</t>
        </is>
      </c>
      <c r="J28" s="330" t="inlineStr">
        <is>
          <t xml:space="preserve">
1. Check the riveting diameter of riveting pliers before each use.
2. Use the tension machine to test the first piece of tension of the fixed tube and traction wire
3. Make sure the reverse nut is locked.</t>
        </is>
      </c>
      <c r="K28" s="325" t="n">
        <v>4</v>
      </c>
      <c r="L28" s="325" t="n">
        <v>24</v>
      </c>
      <c r="M28" s="330" t="inlineStr">
        <is>
          <t>Critical Processes
Special Processes
Confirmation of riveting</t>
        </is>
      </c>
      <c r="N28" s="330" t="inlineStr">
        <is>
          <t>Visualization R&amp;D Department</t>
        </is>
      </c>
      <c r="O28" s="330" t="inlineStr">
        <is>
          <t>MTN-1007620 OQ assessment Report for Single-use Video Pancreaticobiliary Scope</t>
        </is>
      </c>
      <c r="P28" s="325" t="n">
        <v>3</v>
      </c>
      <c r="Q28" s="325" t="n">
        <v>1</v>
      </c>
      <c r="R28" s="325" t="n">
        <v>4</v>
      </c>
      <c r="S28" s="325" t="n">
        <v>12</v>
      </c>
    </row>
    <row r="29" ht="100.5" customFormat="1" customHeight="1" s="409">
      <c r="A29" s="340" t="inlineStr">
        <is>
          <t>6</t>
        </is>
      </c>
      <c r="B29" s="325" t="inlineStr">
        <is>
          <t>Upper shell handle assembly</t>
        </is>
      </c>
      <c r="C29" s="330" t="inlineStr">
        <is>
          <t>1, the handle can control the distal end of the soft head up and down rotation
2、Key cap rebound normal 3、Upper and lower shell without obvious gap</t>
        </is>
      </c>
      <c r="D29" s="330" t="inlineStr">
        <is>
          <t>Handle does not control up and down rotation of the distal soft head</t>
        </is>
      </c>
      <c r="E29" s="330" t="inlineStr">
        <is>
          <t>Product performance degradation, users are very dissatisfied</t>
        </is>
      </c>
      <c r="F29" s="325" t="n">
        <v>3</v>
      </c>
      <c r="G29" s="330" t="inlineStr">
        <is>
          <t>Screws not in place</t>
        </is>
      </c>
      <c r="H29" s="325" t="n">
        <v>2</v>
      </c>
      <c r="I29" s="330" t="inlineStr">
        <is>
          <t>Process does not specify screw mounting locations</t>
        </is>
      </c>
      <c r="J29" s="330" t="inlineStr">
        <is>
          <t>Visually check that the full inspection screws are buried in the toggle and turn the handwheel to check</t>
        </is>
      </c>
      <c r="K29" s="325" t="n">
        <v>2</v>
      </c>
      <c r="L29" s="325" t="n">
        <v>12</v>
      </c>
      <c r="M29" s="330" t="inlineStr">
        <is>
          <t>none</t>
        </is>
      </c>
      <c r="N29" s="325" t="inlineStr">
        <is>
          <t>/</t>
        </is>
      </c>
      <c r="O29" s="325" t="inlineStr">
        <is>
          <t>/</t>
        </is>
      </c>
      <c r="P29" s="325" t="inlineStr">
        <is>
          <t>/</t>
        </is>
      </c>
      <c r="Q29" s="325" t="inlineStr">
        <is>
          <t>/</t>
        </is>
      </c>
      <c r="R29" s="325" t="inlineStr">
        <is>
          <t>/</t>
        </is>
      </c>
      <c r="S29" s="325" t="inlineStr">
        <is>
          <t>/</t>
        </is>
      </c>
    </row>
    <row r="30" ht="96.75" customFormat="1" customHeight="1" s="105">
      <c r="A30" s="408" t="n"/>
      <c r="B30" s="408" t="n"/>
      <c r="C30" s="408" t="n"/>
      <c r="D30" s="330" t="inlineStr">
        <is>
          <t>Buttons don't return</t>
        </is>
      </c>
      <c r="E30" s="330" t="inlineStr">
        <is>
          <t>Product screenshot/freeze function not working, users very upset</t>
        </is>
      </c>
      <c r="F30" s="325" t="n">
        <v>3</v>
      </c>
      <c r="G30" s="330" t="inlineStr">
        <is>
          <t>Incorrect PCB board assembly position</t>
        </is>
      </c>
      <c r="H30" s="325" t="n">
        <v>1</v>
      </c>
      <c r="I30" s="330" t="inlineStr">
        <is>
          <t>The process specifies the location of the installation</t>
        </is>
      </c>
      <c r="J30" s="330" t="inlineStr">
        <is>
          <t>Connect the imaging controller and verify that the freeze/screenshot function is working properly</t>
        </is>
      </c>
      <c r="K30" s="325" t="n">
        <v>2</v>
      </c>
      <c r="L30" s="325" t="n">
        <v>6</v>
      </c>
      <c r="M30" s="330" t="inlineStr">
        <is>
          <t>none</t>
        </is>
      </c>
      <c r="N30" s="325" t="inlineStr">
        <is>
          <t>/</t>
        </is>
      </c>
      <c r="O30" s="325" t="inlineStr">
        <is>
          <t>/</t>
        </is>
      </c>
      <c r="P30" s="325" t="inlineStr">
        <is>
          <t>/</t>
        </is>
      </c>
      <c r="Q30" s="325" t="inlineStr">
        <is>
          <t>/</t>
        </is>
      </c>
      <c r="R30" s="325" t="inlineStr">
        <is>
          <t>/</t>
        </is>
      </c>
      <c r="S30" s="325" t="inlineStr">
        <is>
          <t>/</t>
        </is>
      </c>
    </row>
    <row r="31" ht="64.5" customFormat="1" customHeight="1" s="105">
      <c r="A31" s="406" t="n"/>
      <c r="B31" s="406" t="n"/>
      <c r="C31" s="406" t="n"/>
      <c r="D31" s="330" t="inlineStr">
        <is>
          <t>Excessive clearance between upper and lower housing</t>
        </is>
      </c>
      <c r="E31" s="330" t="inlineStr">
        <is>
          <t>Customer dissatisfaction</t>
        </is>
      </c>
      <c r="F31" s="325" t="n">
        <v>2</v>
      </c>
      <c r="G31" s="330" t="inlineStr">
        <is>
          <t>Upper housing not in place</t>
        </is>
      </c>
      <c r="H31" s="325" t="n">
        <v>2</v>
      </c>
      <c r="I31" s="330" t="inlineStr">
        <is>
          <t>Process increase self-testing</t>
        </is>
      </c>
      <c r="J31" s="330" t="inlineStr">
        <is>
          <t>visual inspection</t>
        </is>
      </c>
      <c r="K31" s="325" t="n">
        <v>2</v>
      </c>
      <c r="L31" s="325" t="n">
        <v>8</v>
      </c>
      <c r="M31" s="330" t="inlineStr">
        <is>
          <t>none</t>
        </is>
      </c>
      <c r="N31" s="325" t="inlineStr">
        <is>
          <t>/</t>
        </is>
      </c>
      <c r="O31" s="325" t="inlineStr">
        <is>
          <t>/</t>
        </is>
      </c>
      <c r="P31" s="325" t="inlineStr">
        <is>
          <t>/</t>
        </is>
      </c>
      <c r="Q31" s="325" t="inlineStr">
        <is>
          <t>/</t>
        </is>
      </c>
      <c r="R31" s="325" t="inlineStr">
        <is>
          <t>/</t>
        </is>
      </c>
      <c r="S31" s="325" t="inlineStr">
        <is>
          <t>/</t>
        </is>
      </c>
    </row>
    <row r="32" ht="23" customHeight="1">
      <c r="A32" s="340" t="inlineStr">
        <is>
          <t>7</t>
        </is>
      </c>
      <c r="B32" s="330" t="inlineStr">
        <is>
          <t>Process inspection</t>
        </is>
      </c>
      <c r="C32" s="330" t="inlineStr">
        <is>
          <t>N/A</t>
        </is>
      </c>
      <c r="D32" s="405" t="n"/>
      <c r="E32" s="405" t="n"/>
      <c r="F32" s="405" t="n"/>
      <c r="G32" s="405" t="n"/>
      <c r="H32" s="405" t="n"/>
      <c r="I32" s="405" t="n"/>
      <c r="J32" s="405" t="n"/>
      <c r="K32" s="405" t="n"/>
      <c r="L32" s="405" t="n"/>
      <c r="M32" s="405" t="n"/>
      <c r="N32" s="405" t="n"/>
      <c r="O32" s="405" t="n"/>
      <c r="P32" s="405" t="n"/>
      <c r="Q32" s="405" t="n"/>
      <c r="R32" s="405" t="n"/>
      <c r="S32" s="399" t="n"/>
    </row>
    <row r="33" ht="23" customHeight="1">
      <c r="A33" s="340" t="inlineStr">
        <is>
          <t>8</t>
        </is>
      </c>
      <c r="B33" s="330" t="inlineStr">
        <is>
          <t>Finish inspection</t>
        </is>
      </c>
      <c r="C33" s="330" t="inlineStr">
        <is>
          <t>N/A</t>
        </is>
      </c>
      <c r="D33" s="405" t="n"/>
      <c r="E33" s="405" t="n"/>
      <c r="F33" s="405" t="n"/>
      <c r="G33" s="405" t="n"/>
      <c r="H33" s="405" t="n"/>
      <c r="I33" s="405" t="n"/>
      <c r="J33" s="405" t="n"/>
      <c r="K33" s="405" t="n"/>
      <c r="L33" s="405" t="n"/>
      <c r="M33" s="405" t="n"/>
      <c r="N33" s="405" t="n"/>
      <c r="O33" s="405" t="n"/>
      <c r="P33" s="405" t="n"/>
      <c r="Q33" s="405" t="n"/>
      <c r="R33" s="405" t="n"/>
      <c r="S33" s="399" t="n"/>
    </row>
    <row r="34" ht="27.75" customHeight="1">
      <c r="A34" s="309" t="n"/>
      <c r="B34" s="396" t="n"/>
      <c r="C34" s="396" t="n"/>
      <c r="D34" s="397" t="n"/>
      <c r="E34" s="310" t="inlineStr">
        <is>
          <t>Single-use Video Pancreaticobiliary Scope PFMEA （G06 EU）</t>
        </is>
      </c>
      <c r="F34" s="396" t="n"/>
      <c r="G34" s="396" t="n"/>
      <c r="H34" s="396" t="n"/>
      <c r="I34" s="396" t="n"/>
      <c r="J34" s="396" t="n"/>
      <c r="K34" s="396" t="n"/>
      <c r="L34" s="397" t="n"/>
      <c r="M34" s="113" t="inlineStr">
        <is>
          <t xml:space="preserve">File No.           </t>
        </is>
      </c>
      <c r="N34" s="347">
        <f>封面!$L$1</f>
        <v/>
      </c>
      <c r="O34" s="405" t="n"/>
      <c r="P34" s="405" t="n"/>
      <c r="Q34" s="405" t="n"/>
      <c r="R34" s="405" t="n"/>
      <c r="S34" s="399" t="n"/>
    </row>
    <row r="35" ht="29.25" customHeight="1">
      <c r="A35" s="400" t="n"/>
      <c r="D35" s="401" t="n"/>
      <c r="E35" s="400" t="n"/>
      <c r="L35" s="401" t="n"/>
      <c r="M35" s="113" t="inlineStr">
        <is>
          <t xml:space="preserve">Rev:                </t>
        </is>
      </c>
      <c r="N35" s="347">
        <f>封面!$L$2</f>
        <v/>
      </c>
      <c r="O35" s="405" t="n"/>
      <c r="P35" s="405" t="n"/>
      <c r="Q35" s="405" t="n"/>
      <c r="R35" s="405" t="n"/>
      <c r="S35" s="399" t="n"/>
    </row>
    <row r="36" ht="15.5" customHeight="1">
      <c r="A36" s="402" t="n"/>
      <c r="B36" s="403" t="n"/>
      <c r="C36" s="403" t="n"/>
      <c r="D36" s="404" t="n"/>
      <c r="E36" s="402" t="n"/>
      <c r="F36" s="403" t="n"/>
      <c r="G36" s="403" t="n"/>
      <c r="H36" s="403" t="n"/>
      <c r="I36" s="403" t="n"/>
      <c r="J36" s="403" t="n"/>
      <c r="K36" s="403" t="n"/>
      <c r="L36" s="404" t="n"/>
      <c r="M36" s="114" t="inlineStr">
        <is>
          <t xml:space="preserve">Page     of            
</t>
        </is>
      </c>
      <c r="N36" s="265" t="inlineStr">
        <is>
          <t>Page 10 of 14</t>
        </is>
      </c>
      <c r="O36" s="405" t="n"/>
      <c r="P36" s="405" t="n"/>
      <c r="Q36" s="405" t="n"/>
      <c r="R36" s="405" t="n"/>
      <c r="S36" s="399" t="n"/>
    </row>
    <row r="37" ht="33.75" customFormat="1" customHeight="1" s="105">
      <c r="A37" s="315" t="inlineStr">
        <is>
          <t>N0.</t>
        </is>
      </c>
      <c r="B37" s="315" t="inlineStr">
        <is>
          <t xml:space="preserve">
Process Name</t>
        </is>
      </c>
      <c r="C37" s="315" t="inlineStr">
        <is>
          <t xml:space="preserve">
Functional requirements</t>
        </is>
      </c>
      <c r="D37" s="315" t="inlineStr">
        <is>
          <t xml:space="preserve">
FMEA</t>
        </is>
      </c>
      <c r="E37" s="315" t="inlineStr">
        <is>
          <t>Potential Effect of Failure</t>
        </is>
      </c>
      <c r="F37" s="315" t="inlineStr">
        <is>
          <t>severity</t>
        </is>
      </c>
      <c r="G37" s="315" t="inlineStr">
        <is>
          <t>Potential failure causes/mechanisms</t>
        </is>
      </c>
      <c r="H37" s="315" t="inlineStr">
        <is>
          <t>frequency</t>
        </is>
      </c>
      <c r="I37" s="315" t="inlineStr">
        <is>
          <t>Current process control</t>
        </is>
      </c>
      <c r="J37" s="399" t="n"/>
      <c r="K37" s="315" t="inlineStr">
        <is>
          <t>detectivity</t>
        </is>
      </c>
      <c r="L37" s="315" t="inlineStr">
        <is>
          <t>Risk order number</t>
        </is>
      </c>
      <c r="M37" s="315" t="inlineStr">
        <is>
          <t>Suggested corrective/preventive measures</t>
        </is>
      </c>
      <c r="N37" s="315" t="inlineStr">
        <is>
          <t>Dept.</t>
        </is>
      </c>
      <c r="O37" s="315" t="inlineStr">
        <is>
          <t xml:space="preserve"> Improved</t>
        </is>
      </c>
      <c r="P37" s="405" t="n"/>
      <c r="Q37" s="405" t="n"/>
      <c r="R37" s="405" t="n"/>
      <c r="S37" s="399" t="n"/>
    </row>
    <row r="38" ht="23" customFormat="1" customHeight="1" s="105">
      <c r="A38" s="406" t="n"/>
      <c r="B38" s="406" t="n"/>
      <c r="C38" s="406" t="n"/>
      <c r="D38" s="406" t="n"/>
      <c r="E38" s="406" t="n"/>
      <c r="F38" s="315" t="inlineStr">
        <is>
          <t>S</t>
        </is>
      </c>
      <c r="G38" s="406" t="n"/>
      <c r="H38" s="315" t="inlineStr">
        <is>
          <t>O</t>
        </is>
      </c>
      <c r="I38" s="315" t="inlineStr">
        <is>
          <t xml:space="preserve"> Prevent</t>
        </is>
      </c>
      <c r="J38" s="315" t="inlineStr">
        <is>
          <t xml:space="preserve"> Detection</t>
        </is>
      </c>
      <c r="K38" s="315" t="inlineStr">
        <is>
          <t>D</t>
        </is>
      </c>
      <c r="L38" s="315" t="inlineStr">
        <is>
          <t>RPN</t>
        </is>
      </c>
      <c r="M38" s="406" t="n"/>
      <c r="N38" s="406" t="n"/>
      <c r="O38" s="165" t="inlineStr">
        <is>
          <t>Implementation of measures</t>
        </is>
      </c>
      <c r="P38" s="315" t="inlineStr">
        <is>
          <t>S</t>
        </is>
      </c>
      <c r="Q38" s="315" t="inlineStr">
        <is>
          <t>O</t>
        </is>
      </c>
      <c r="R38" s="315" t="inlineStr">
        <is>
          <t>D</t>
        </is>
      </c>
      <c r="S38" s="315" t="inlineStr">
        <is>
          <t>RPN</t>
        </is>
      </c>
    </row>
    <row r="39" ht="116" customFormat="1" customHeight="1" s="197">
      <c r="A39" s="415" t="n">
        <v>9</v>
      </c>
      <c r="B39" s="302" t="inlineStr">
        <is>
          <t>Print Labels</t>
        </is>
      </c>
      <c r="C39" s="302" t="inlineStr">
        <is>
          <t>Label printing based on product DHR information.</t>
        </is>
      </c>
      <c r="D39" s="212" t="inlineStr">
        <is>
          <t xml:space="preserve">
Label printing obscured.</t>
        </is>
      </c>
      <c r="E39" s="301" t="inlineStr">
        <is>
          <t>Incomplete information, inconvenient use, prolonged operation time.</t>
        </is>
      </c>
      <c r="F39" s="302" t="n">
        <v>2</v>
      </c>
      <c r="G39" s="341" t="inlineStr">
        <is>
          <t>1.Printer parameters set incorrectly.
2.Blank label used incorrectly, template used incorrectly.
3.Printer Exception.</t>
        </is>
      </c>
      <c r="H39" s="302" t="n">
        <v>1</v>
      </c>
      <c r="I39" s="301" t="inlineStr">
        <is>
          <t>1.Print parameters are verified and printer is spot-checked daily.
2.Performing on-the-job training for personnel, fixing label template, binding between internal control number and template, countersignature and review of database.
3.Print device timing maintenance.</t>
        </is>
      </c>
      <c r="J39" s="301" t="inlineStr">
        <is>
          <t>1.Operators visually check label quality.
2.First article confirmation of each batch of labels.
3.Final inspection will spot check the packaged product.</t>
        </is>
      </c>
      <c r="K39" s="302" t="n">
        <v>2</v>
      </c>
      <c r="L39" s="302" t="n">
        <v>4</v>
      </c>
      <c r="M39" s="302" t="inlineStr">
        <is>
          <t>-</t>
        </is>
      </c>
      <c r="N39" s="258" t="n"/>
      <c r="O39" s="302" t="inlineStr">
        <is>
          <t>-</t>
        </is>
      </c>
      <c r="P39" s="302" t="inlineStr">
        <is>
          <t>-</t>
        </is>
      </c>
      <c r="Q39" s="302" t="inlineStr">
        <is>
          <t>-</t>
        </is>
      </c>
      <c r="R39" s="302" t="inlineStr">
        <is>
          <t>-</t>
        </is>
      </c>
      <c r="S39" s="302" t="inlineStr">
        <is>
          <t>-</t>
        </is>
      </c>
    </row>
    <row r="40" ht="116" customFormat="1" customHeight="1" s="197">
      <c r="A40" s="408" t="n"/>
      <c r="B40" s="408" t="n"/>
      <c r="C40" s="408" t="n"/>
      <c r="D40" s="213" t="inlineStr">
        <is>
          <t>Label format printed incorrectly.</t>
        </is>
      </c>
      <c r="E40" s="406" t="n"/>
      <c r="F40" s="406" t="n"/>
      <c r="G40" s="406" t="n"/>
      <c r="H40" s="406" t="n"/>
      <c r="I40" s="406" t="n"/>
      <c r="J40" s="408" t="n"/>
      <c r="K40" s="406" t="n"/>
      <c r="L40" s="406" t="n"/>
      <c r="M40" s="406" t="n"/>
      <c r="N40" s="408" t="n"/>
      <c r="O40" s="302" t="inlineStr">
        <is>
          <t>-</t>
        </is>
      </c>
      <c r="P40" s="302" t="inlineStr">
        <is>
          <t>-</t>
        </is>
      </c>
      <c r="Q40" s="302" t="inlineStr">
        <is>
          <t>-</t>
        </is>
      </c>
      <c r="R40" s="302" t="inlineStr">
        <is>
          <t>-</t>
        </is>
      </c>
      <c r="S40" s="302" t="inlineStr">
        <is>
          <t>-</t>
        </is>
      </c>
    </row>
    <row r="41" ht="151" customFormat="1" customHeight="1" s="197">
      <c r="A41" s="408" t="n"/>
      <c r="B41" s="408" t="n"/>
      <c r="C41" s="408" t="n"/>
      <c r="D41" s="213" t="inlineStr">
        <is>
          <t>3.Label printed incorrectly.</t>
        </is>
      </c>
      <c r="E41" s="301" t="inlineStr">
        <is>
          <t>Incorrect use of device causing injury to patient.</t>
        </is>
      </c>
      <c r="F41" s="302" t="n">
        <v>3</v>
      </c>
      <c r="G41" s="341" t="inlineStr">
        <is>
          <t>1.DHR Error.
2.Label template information error,label template selection error.
3.Print person information entry error.</t>
        </is>
      </c>
      <c r="H41" s="302" t="n">
        <v>1</v>
      </c>
      <c r="I41" s="301" t="inlineStr">
        <is>
          <t>1.DHR reviewed and confirmed.
2.The label template requires countersignature confirmation, and the internal control number is system-bound to the template, with the database containing countersignature and review records..
3.Performing on-the-job training for personnel.</t>
        </is>
      </c>
      <c r="J41" s="406" t="n"/>
      <c r="K41" s="302" t="n">
        <v>2</v>
      </c>
      <c r="L41" s="302" t="n">
        <v>6</v>
      </c>
      <c r="M41" s="257" t="inlineStr">
        <is>
          <t xml:space="preserve">Operate in accordance with the "Standard Operating Instruction for Label Printing and Confirmation"
</t>
        </is>
      </c>
      <c r="N41" s="406" t="n"/>
      <c r="O41" s="302" t="inlineStr">
        <is>
          <t>-</t>
        </is>
      </c>
      <c r="P41" s="302" t="n">
        <v>3</v>
      </c>
      <c r="Q41" s="302" t="n">
        <v>1</v>
      </c>
      <c r="R41" s="302" t="n">
        <v>1</v>
      </c>
      <c r="S41" s="302" t="n">
        <v>3</v>
      </c>
    </row>
    <row r="42" ht="151" customFormat="1" customHeight="1" s="197">
      <c r="A42" s="406" t="n"/>
      <c r="B42" s="406" t="n"/>
      <c r="C42" s="406" t="n"/>
      <c r="D42" s="301" t="inlineStr">
        <is>
          <t xml:space="preserve">4. UDI barcode information error
</t>
        </is>
      </c>
      <c r="E42" s="214" t="inlineStr">
        <is>
          <t xml:space="preserve">Devices cannot normally enter the finished goods warehouse.
</t>
        </is>
      </c>
      <c r="F42" s="190" t="n">
        <v>3</v>
      </c>
      <c r="G42" s="215" t="inlineStr">
        <is>
          <t>1. Label template information error;
2. Label template selection error.</t>
        </is>
      </c>
      <c r="H42" s="190" t="n">
        <v>1</v>
      </c>
      <c r="I42" s="216" t="inlineStr">
        <is>
          <t>1.The label template requires countersignature confirmation, and the internal control number is system-bound to the template, with the database containing countersignature and review records.
2.Performing on-the-job training for personnel.</t>
        </is>
      </c>
      <c r="J42" s="217" t="inlineStr">
        <is>
          <t>Perform UDI barcode confirmation during the first article confirmation of each batch of labels.</t>
        </is>
      </c>
      <c r="K42" s="190" t="n">
        <v>2</v>
      </c>
      <c r="L42" s="190" t="n">
        <v>6</v>
      </c>
      <c r="M42" s="217" t="inlineStr">
        <is>
          <t>Operate in accordance with the "Standard Operating Instruction for Label Printing and Confirmation"</t>
        </is>
      </c>
      <c r="N42" s="218" t="inlineStr">
        <is>
          <t>1.Product Management Department</t>
        </is>
      </c>
      <c r="O42" s="302" t="inlineStr">
        <is>
          <t>-</t>
        </is>
      </c>
      <c r="P42" s="302" t="n">
        <v>3</v>
      </c>
      <c r="Q42" s="302" t="n">
        <v>1</v>
      </c>
      <c r="R42" s="302" t="n">
        <v>1</v>
      </c>
      <c r="S42" s="302" t="n">
        <v>3</v>
      </c>
    </row>
    <row r="43" ht="27.75" customHeight="1">
      <c r="A43" s="309" t="n"/>
      <c r="B43" s="396" t="n"/>
      <c r="C43" s="396" t="n"/>
      <c r="D43" s="397" t="n"/>
      <c r="E43" s="310" t="inlineStr">
        <is>
          <t>Single-use Video Pancreaticobiliary Scope PFMEA （G06 EU）</t>
        </is>
      </c>
      <c r="F43" s="396" t="n"/>
      <c r="G43" s="396" t="n"/>
      <c r="H43" s="396" t="n"/>
      <c r="I43" s="396" t="n"/>
      <c r="J43" s="396" t="n"/>
      <c r="K43" s="396" t="n"/>
      <c r="L43" s="397" t="n"/>
      <c r="M43" s="113" t="inlineStr">
        <is>
          <t xml:space="preserve">File No.           </t>
        </is>
      </c>
      <c r="N43" s="347">
        <f>封面!$L$1</f>
        <v/>
      </c>
      <c r="O43" s="405" t="n"/>
      <c r="P43" s="405" t="n"/>
      <c r="Q43" s="405" t="n"/>
      <c r="R43" s="405" t="n"/>
      <c r="S43" s="399" t="n"/>
    </row>
    <row r="44" ht="29.25" customHeight="1">
      <c r="A44" s="400" t="n"/>
      <c r="D44" s="401" t="n"/>
      <c r="E44" s="400" t="n"/>
      <c r="L44" s="401" t="n"/>
      <c r="M44" s="113" t="inlineStr">
        <is>
          <t xml:space="preserve">Rev:                </t>
        </is>
      </c>
      <c r="N44" s="347">
        <f>封面!$L$2</f>
        <v/>
      </c>
      <c r="O44" s="405" t="n"/>
      <c r="P44" s="405" t="n"/>
      <c r="Q44" s="405" t="n"/>
      <c r="R44" s="405" t="n"/>
      <c r="S44" s="399" t="n"/>
    </row>
    <row r="45" ht="15.5" customHeight="1">
      <c r="A45" s="402" t="n"/>
      <c r="B45" s="403" t="n"/>
      <c r="C45" s="403" t="n"/>
      <c r="D45" s="404" t="n"/>
      <c r="E45" s="402" t="n"/>
      <c r="F45" s="403" t="n"/>
      <c r="G45" s="403" t="n"/>
      <c r="H45" s="403" t="n"/>
      <c r="I45" s="403" t="n"/>
      <c r="J45" s="403" t="n"/>
      <c r="K45" s="403" t="n"/>
      <c r="L45" s="404" t="n"/>
      <c r="M45" s="114" t="inlineStr">
        <is>
          <t xml:space="preserve">Page     of            
</t>
        </is>
      </c>
      <c r="N45" s="265" t="inlineStr">
        <is>
          <t>Page 11 of 14</t>
        </is>
      </c>
      <c r="O45" s="405" t="n"/>
      <c r="P45" s="405" t="n"/>
      <c r="Q45" s="405" t="n"/>
      <c r="R45" s="405" t="n"/>
      <c r="S45" s="399" t="n"/>
    </row>
    <row r="46" ht="33.75" customFormat="1" customHeight="1" s="105">
      <c r="A46" s="315" t="inlineStr">
        <is>
          <t>N0.</t>
        </is>
      </c>
      <c r="B46" s="315" t="inlineStr">
        <is>
          <t xml:space="preserve">
Process Name</t>
        </is>
      </c>
      <c r="C46" s="315" t="inlineStr">
        <is>
          <t xml:space="preserve">
Functional requirements</t>
        </is>
      </c>
      <c r="D46" s="315" t="inlineStr">
        <is>
          <t xml:space="preserve">
FMEA</t>
        </is>
      </c>
      <c r="E46" s="315" t="inlineStr">
        <is>
          <t>Potential Effect of Failure</t>
        </is>
      </c>
      <c r="F46" s="315" t="inlineStr">
        <is>
          <t>severity</t>
        </is>
      </c>
      <c r="G46" s="315" t="inlineStr">
        <is>
          <t>Potential failure causes/mechanisms</t>
        </is>
      </c>
      <c r="H46" s="315" t="inlineStr">
        <is>
          <t>frequency</t>
        </is>
      </c>
      <c r="I46" s="315" t="inlineStr">
        <is>
          <t>Current process control</t>
        </is>
      </c>
      <c r="J46" s="399" t="n"/>
      <c r="K46" s="315" t="inlineStr">
        <is>
          <t>detectivity</t>
        </is>
      </c>
      <c r="L46" s="315" t="inlineStr">
        <is>
          <t>Risk order number</t>
        </is>
      </c>
      <c r="M46" s="315" t="inlineStr">
        <is>
          <t>Suggested corrective/preventive measures</t>
        </is>
      </c>
      <c r="N46" s="315" t="inlineStr">
        <is>
          <t>Dept.</t>
        </is>
      </c>
      <c r="O46" s="315" t="inlineStr">
        <is>
          <t xml:space="preserve"> Improved</t>
        </is>
      </c>
      <c r="P46" s="405" t="n"/>
      <c r="Q46" s="405" t="n"/>
      <c r="R46" s="405" t="n"/>
      <c r="S46" s="399" t="n"/>
    </row>
    <row r="47" ht="23" customFormat="1" customHeight="1" s="105">
      <c r="A47" s="406" t="n"/>
      <c r="B47" s="406" t="n"/>
      <c r="C47" s="406" t="n"/>
      <c r="D47" s="406" t="n"/>
      <c r="E47" s="406" t="n"/>
      <c r="F47" s="315" t="inlineStr">
        <is>
          <t>S</t>
        </is>
      </c>
      <c r="G47" s="406" t="n"/>
      <c r="H47" s="315" t="inlineStr">
        <is>
          <t>O</t>
        </is>
      </c>
      <c r="I47" s="315" t="inlineStr">
        <is>
          <t xml:space="preserve"> Prevent</t>
        </is>
      </c>
      <c r="J47" s="315" t="inlineStr">
        <is>
          <t xml:space="preserve"> Detection</t>
        </is>
      </c>
      <c r="K47" s="315" t="inlineStr">
        <is>
          <t>D</t>
        </is>
      </c>
      <c r="L47" s="315" t="inlineStr">
        <is>
          <t>RPN</t>
        </is>
      </c>
      <c r="M47" s="406" t="n"/>
      <c r="N47" s="406" t="n"/>
      <c r="O47" s="165" t="inlineStr">
        <is>
          <t>Implementation of measures</t>
        </is>
      </c>
      <c r="P47" s="315" t="inlineStr">
        <is>
          <t>S</t>
        </is>
      </c>
      <c r="Q47" s="315" t="inlineStr">
        <is>
          <t>O</t>
        </is>
      </c>
      <c r="R47" s="315" t="inlineStr">
        <is>
          <t>D</t>
        </is>
      </c>
      <c r="S47" s="315" t="inlineStr">
        <is>
          <t>RPN</t>
        </is>
      </c>
    </row>
    <row r="48" ht="92" customHeight="1">
      <c r="A48" s="340" t="inlineStr">
        <is>
          <t>10</t>
        </is>
      </c>
      <c r="B48" s="330" t="inlineStr">
        <is>
          <t>Inner packaging</t>
        </is>
      </c>
      <c r="C48" s="330" t="inlineStr">
        <is>
          <t>Fittings complete</t>
        </is>
      </c>
      <c r="D48" s="330" t="inlineStr">
        <is>
          <t>Missing accessories</t>
        </is>
      </c>
      <c r="E48" s="330" t="inlineStr">
        <is>
          <t>Product functionality has declined and users are very dissatisfied</t>
        </is>
      </c>
      <c r="F48" s="325" t="n">
        <v>3</v>
      </c>
      <c r="G48" s="330" t="inlineStr">
        <is>
          <t>Documentation does not specify where accessories are to be mounted Documentation does not specify where accessories are to be mounted</t>
        </is>
      </c>
      <c r="H48" s="325" t="n">
        <v>2</v>
      </c>
      <c r="I48" s="330" t="inlineStr">
        <is>
          <t>The process clarifies the installation of accessories and self-inspection requirements</t>
        </is>
      </c>
      <c r="J48" s="330" t="inlineStr">
        <is>
          <t>Visual inspection of accessories for completeness</t>
        </is>
      </c>
      <c r="K48" s="325" t="n">
        <v>1</v>
      </c>
      <c r="L48" s="325" t="n">
        <v>6</v>
      </c>
      <c r="M48" s="330" t="inlineStr">
        <is>
          <t>none</t>
        </is>
      </c>
      <c r="N48" s="325" t="inlineStr">
        <is>
          <t>/</t>
        </is>
      </c>
      <c r="O48" s="325" t="inlineStr">
        <is>
          <t>/</t>
        </is>
      </c>
      <c r="P48" s="325" t="inlineStr">
        <is>
          <t>/</t>
        </is>
      </c>
      <c r="Q48" s="325" t="inlineStr">
        <is>
          <t>/</t>
        </is>
      </c>
      <c r="R48" s="325" t="inlineStr">
        <is>
          <t>/</t>
        </is>
      </c>
      <c r="S48" s="325" t="inlineStr">
        <is>
          <t>/</t>
        </is>
      </c>
    </row>
    <row r="49" ht="64" customHeight="1">
      <c r="A49" s="408" t="n"/>
      <c r="B49" s="408" t="n"/>
      <c r="C49" s="330" t="inlineStr">
        <is>
          <t>Seal width not less than 6mm</t>
        </is>
      </c>
      <c r="D49" s="330" t="inlineStr">
        <is>
          <t>Broken paper-plastic bags</t>
        </is>
      </c>
      <c r="E49" s="330" t="inlineStr">
        <is>
          <t>Product carries bacteria, causing patient injury</t>
        </is>
      </c>
      <c r="F49" s="325" t="n">
        <v>4</v>
      </c>
      <c r="G49" s="330" t="inlineStr">
        <is>
          <t>Inappropriate equipment parameters</t>
        </is>
      </c>
      <c r="H49" s="325" t="n">
        <v>2</v>
      </c>
      <c r="I49" s="330" t="inlineStr">
        <is>
          <t>1、Packaging confirmation
2、Establish perfect equipment parameters
First inspection confirmation for each batch</t>
        </is>
      </c>
      <c r="J49" s="330" t="inlineStr">
        <is>
          <t>1. Visually inspect the package for damage.
2. Use the tensile machine to test the first piece of packaging tension</t>
        </is>
      </c>
      <c r="K49" s="325" t="n">
        <v>4</v>
      </c>
      <c r="L49" s="325" t="n">
        <v>32</v>
      </c>
      <c r="M49" s="330" t="inlineStr">
        <is>
          <t>Critical Processes
Special Processes
Perform seal confirmation/evaluation</t>
        </is>
      </c>
      <c r="N49" s="330" t="inlineStr">
        <is>
          <t>Visualization R&amp;D Department</t>
        </is>
      </c>
      <c r="O49" s="330" t="inlineStr">
        <is>
          <t>MTN-1007620 OQ assessment Report for Single-use Video Pancreaticobiliary Scope</t>
        </is>
      </c>
      <c r="P49" s="330" t="n">
        <v>4</v>
      </c>
      <c r="Q49" s="330" t="n">
        <v>1</v>
      </c>
      <c r="R49" s="330" t="n">
        <v>4</v>
      </c>
      <c r="S49" s="330" t="n">
        <v>16</v>
      </c>
    </row>
    <row r="50" ht="64" customFormat="1" customHeight="1" s="105">
      <c r="A50" s="406" t="n"/>
      <c r="B50" s="406" t="n"/>
      <c r="C50" s="330" t="inlineStr">
        <is>
          <t>Seal peel strength ≥1.0 lbf/inch</t>
        </is>
      </c>
      <c r="D50" s="406" t="n"/>
      <c r="E50" s="406" t="n"/>
      <c r="F50" s="406" t="n"/>
      <c r="G50" s="406" t="n"/>
      <c r="H50" s="406" t="n"/>
      <c r="I50" s="406" t="n"/>
      <c r="J50" s="406" t="n"/>
      <c r="K50" s="406" t="n"/>
      <c r="L50" s="406" t="n"/>
      <c r="M50" s="406" t="n"/>
      <c r="N50" s="406" t="n"/>
      <c r="O50" s="406" t="n"/>
      <c r="P50" s="406" t="n"/>
      <c r="Q50" s="406" t="n"/>
      <c r="R50" s="406" t="n"/>
      <c r="S50" s="406" t="n"/>
    </row>
    <row r="51" ht="51" customHeight="1">
      <c r="A51" s="309" t="n">
        <v>11</v>
      </c>
      <c r="B51" s="330" t="inlineStr">
        <is>
          <t>Outer packaging</t>
        </is>
      </c>
      <c r="C51" s="330" t="inlineStr">
        <is>
          <t>Packing of the center box and outer box according to the specified quantity, and putting in the product manuals</t>
        </is>
      </c>
      <c r="D51" s="330" t="inlineStr">
        <is>
          <t xml:space="preserve">Missing instructions   </t>
        </is>
      </c>
      <c r="E51" s="330" t="inlineStr">
        <is>
          <t>1. Interruption of the next process 2. Very dissatisfied users</t>
        </is>
      </c>
      <c r="F51" s="325" t="n">
        <v>3</v>
      </c>
      <c r="G51" s="330" t="inlineStr">
        <is>
          <t>Unclear packaging requirements</t>
        </is>
      </c>
      <c r="H51" s="325" t="n">
        <v>2</v>
      </c>
      <c r="I51" s="330" t="inlineStr">
        <is>
          <t>Clarify process self-inspection requirements</t>
        </is>
      </c>
      <c r="J51" s="330" t="inlineStr">
        <is>
          <t>visual inspection</t>
        </is>
      </c>
      <c r="K51" s="325" t="n">
        <v>1</v>
      </c>
      <c r="L51" s="325" t="n">
        <v>6</v>
      </c>
      <c r="M51" s="330" t="inlineStr">
        <is>
          <t>none</t>
        </is>
      </c>
      <c r="N51" s="325" t="inlineStr">
        <is>
          <t>/</t>
        </is>
      </c>
      <c r="O51" s="325" t="inlineStr">
        <is>
          <t>/</t>
        </is>
      </c>
      <c r="P51" s="325" t="inlineStr">
        <is>
          <t>/</t>
        </is>
      </c>
      <c r="Q51" s="325" t="inlineStr">
        <is>
          <t>/</t>
        </is>
      </c>
      <c r="R51" s="325" t="inlineStr">
        <is>
          <t>/</t>
        </is>
      </c>
      <c r="S51" s="325" t="inlineStr">
        <is>
          <t>/</t>
        </is>
      </c>
    </row>
    <row r="52" ht="27.75" customHeight="1">
      <c r="A52" s="406" t="n"/>
      <c r="B52" s="406" t="n"/>
      <c r="C52" s="406" t="n"/>
      <c r="D52" s="330" t="inlineStr">
        <is>
          <t>Wrong type of packaging</t>
        </is>
      </c>
      <c r="E52" s="330" t="inlineStr">
        <is>
          <t>1. Interruption of the next process 2. Very dissatisfied users</t>
        </is>
      </c>
      <c r="F52" s="406" t="n"/>
      <c r="G52" s="406" t="n"/>
      <c r="H52" s="406" t="n"/>
      <c r="I52" s="406" t="n"/>
      <c r="J52" s="406" t="n"/>
      <c r="K52" s="406" t="n"/>
      <c r="L52" s="406" t="n"/>
      <c r="M52" s="406" t="n"/>
      <c r="N52" s="406" t="n"/>
      <c r="O52" s="406" t="n"/>
      <c r="P52" s="406" t="n"/>
      <c r="Q52" s="406" t="n"/>
      <c r="R52" s="406" t="n"/>
      <c r="S52" s="406" t="n"/>
    </row>
    <row r="53" ht="29.25" customHeight="1">
      <c r="A53" s="309" t="n">
        <v>12</v>
      </c>
      <c r="B53" s="330" t="inlineStr">
        <is>
          <t>Final inspection</t>
        </is>
      </c>
      <c r="C53" s="330" t="inlineStr">
        <is>
          <t>N/A</t>
        </is>
      </c>
      <c r="D53" s="405" t="n"/>
      <c r="E53" s="405" t="n"/>
      <c r="F53" s="405" t="n"/>
      <c r="G53" s="405" t="n"/>
      <c r="H53" s="405" t="n"/>
      <c r="I53" s="405" t="n"/>
      <c r="J53" s="405" t="n"/>
      <c r="K53" s="405" t="n"/>
      <c r="L53" s="405" t="n"/>
      <c r="M53" s="405" t="n"/>
      <c r="N53" s="405" t="n"/>
      <c r="O53" s="405" t="n"/>
      <c r="P53" s="405" t="n"/>
      <c r="Q53" s="405" t="n"/>
      <c r="R53" s="405" t="n"/>
      <c r="S53" s="399" t="n"/>
    </row>
    <row r="54" ht="115" customHeight="1">
      <c r="A54" s="309" t="n">
        <v>13</v>
      </c>
      <c r="B54" s="330" t="inlineStr">
        <is>
          <t>sterilization</t>
        </is>
      </c>
      <c r="C54" s="330" t="inlineStr">
        <is>
          <t>Ensure that the product is sterile</t>
        </is>
      </c>
      <c r="D54" s="330" t="inlineStr">
        <is>
          <t>Product Sterilization</t>
        </is>
      </c>
      <c r="E54" s="330" t="inlineStr">
        <is>
          <t>Causes injury to the patient</t>
        </is>
      </c>
      <c r="F54" s="325" t="n">
        <v>4</v>
      </c>
      <c r="G54" s="330" t="inlineStr">
        <is>
          <t xml:space="preserve">
Incorrect sterilization parameters</t>
        </is>
      </c>
      <c r="H54" s="325" t="n">
        <v>2</v>
      </c>
      <c r="I54" s="330" t="inlineStr">
        <is>
          <t>1. Perform sterilization confirmation
2. Perform BI test on each sterilized batch of products, check the records of sterilized batch at the same time, and label all the outsourced and insourced products with sterilized labels to prevent omission.</t>
        </is>
      </c>
      <c r="J54" s="330" t="inlineStr">
        <is>
          <t>Visual inspection Aseptic testing</t>
        </is>
      </c>
      <c r="K54" s="325" t="n">
        <v>4</v>
      </c>
      <c r="L54" s="325" t="n">
        <v>32</v>
      </c>
      <c r="M54" s="330" t="inlineStr">
        <is>
          <t>Critical Processes
Special processes
Sterilization confirmation/assessment</t>
        </is>
      </c>
      <c r="N54" s="330" t="inlineStr">
        <is>
          <t>Visualization R&amp;D Department</t>
        </is>
      </c>
      <c r="O54" s="325" t="inlineStr">
        <is>
          <t xml:space="preserve">MTN-1010340 EO-Sterilization Process Evaluation Report of 
Single-use Video Pancreaticobiliary Scope </t>
        </is>
      </c>
      <c r="P54" s="325" t="n">
        <v>4</v>
      </c>
      <c r="Q54" s="325" t="n">
        <v>1</v>
      </c>
      <c r="R54" s="325" t="n">
        <v>4</v>
      </c>
      <c r="S54" s="325" t="n">
        <v>16</v>
      </c>
    </row>
    <row r="55" ht="34.5" customFormat="1" customHeight="1" s="105">
      <c r="A55" s="309" t="n">
        <v>14</v>
      </c>
      <c r="B55" s="330" t="inlineStr">
        <is>
          <t>Delivery inspection</t>
        </is>
      </c>
      <c r="C55" s="330" t="inlineStr">
        <is>
          <t>N/A</t>
        </is>
      </c>
      <c r="D55" s="405" t="n"/>
      <c r="E55" s="405" t="n"/>
      <c r="F55" s="405" t="n"/>
      <c r="G55" s="405" t="n"/>
      <c r="H55" s="405" t="n"/>
      <c r="I55" s="405" t="n"/>
      <c r="J55" s="405" t="n"/>
      <c r="K55" s="405" t="n"/>
      <c r="L55" s="405" t="n"/>
      <c r="M55" s="405" t="n"/>
      <c r="N55" s="405" t="n"/>
      <c r="O55" s="405" t="n"/>
      <c r="P55" s="405" t="n"/>
      <c r="Q55" s="405" t="n"/>
      <c r="R55" s="405" t="n"/>
      <c r="S55" s="399" t="n"/>
    </row>
    <row r="56" ht="27.75" customHeight="1">
      <c r="A56" s="309" t="n"/>
      <c r="B56" s="396" t="n"/>
      <c r="C56" s="396" t="n"/>
      <c r="D56" s="397" t="n"/>
      <c r="E56" s="310" t="inlineStr">
        <is>
          <t>Single-use Video Pancreaticobiliary Scope PFMEA （G06 EU）</t>
        </is>
      </c>
      <c r="F56" s="396" t="n"/>
      <c r="G56" s="396" t="n"/>
      <c r="H56" s="396" t="n"/>
      <c r="I56" s="396" t="n"/>
      <c r="J56" s="396" t="n"/>
      <c r="K56" s="396" t="n"/>
      <c r="L56" s="397" t="n"/>
      <c r="M56" s="113" t="inlineStr">
        <is>
          <t xml:space="preserve">File No.           </t>
        </is>
      </c>
      <c r="N56" s="347">
        <f>封面!$L$1</f>
        <v/>
      </c>
      <c r="O56" s="405" t="n"/>
      <c r="P56" s="405" t="n"/>
      <c r="Q56" s="405" t="n"/>
      <c r="R56" s="405" t="n"/>
      <c r="S56" s="399" t="n"/>
    </row>
    <row r="57" ht="29.25" customHeight="1">
      <c r="A57" s="400" t="n"/>
      <c r="D57" s="401" t="n"/>
      <c r="E57" s="400" t="n"/>
      <c r="L57" s="401" t="n"/>
      <c r="M57" s="113" t="inlineStr">
        <is>
          <t xml:space="preserve">Rev:                </t>
        </is>
      </c>
      <c r="N57" s="347">
        <f>封面!$L$2</f>
        <v/>
      </c>
      <c r="O57" s="405" t="n"/>
      <c r="P57" s="405" t="n"/>
      <c r="Q57" s="405" t="n"/>
      <c r="R57" s="405" t="n"/>
      <c r="S57" s="399" t="n"/>
    </row>
    <row r="58" ht="15.5" customHeight="1">
      <c r="A58" s="402" t="n"/>
      <c r="B58" s="403" t="n"/>
      <c r="C58" s="403" t="n"/>
      <c r="D58" s="404" t="n"/>
      <c r="E58" s="402" t="n"/>
      <c r="F58" s="403" t="n"/>
      <c r="G58" s="403" t="n"/>
      <c r="H58" s="403" t="n"/>
      <c r="I58" s="403" t="n"/>
      <c r="J58" s="403" t="n"/>
      <c r="K58" s="403" t="n"/>
      <c r="L58" s="404" t="n"/>
      <c r="M58" s="114" t="inlineStr">
        <is>
          <t xml:space="preserve">Page     of            
</t>
        </is>
      </c>
      <c r="N58" s="265" t="inlineStr">
        <is>
          <t>Page 12 of 14</t>
        </is>
      </c>
      <c r="O58" s="405" t="n"/>
      <c r="P58" s="405" t="n"/>
      <c r="Q58" s="405" t="n"/>
      <c r="R58" s="405" t="n"/>
      <c r="S58" s="399" t="n"/>
    </row>
    <row r="59" ht="33.75" customFormat="1" customHeight="1" s="105">
      <c r="A59" s="315" t="inlineStr">
        <is>
          <t>N0.</t>
        </is>
      </c>
      <c r="B59" s="315" t="inlineStr">
        <is>
          <t xml:space="preserve">
Process Name</t>
        </is>
      </c>
      <c r="C59" s="315" t="inlineStr">
        <is>
          <t xml:space="preserve">
Functional requirements</t>
        </is>
      </c>
      <c r="D59" s="315" t="inlineStr">
        <is>
          <t xml:space="preserve">
FMEA</t>
        </is>
      </c>
      <c r="E59" s="315" t="inlineStr">
        <is>
          <t>Potential Effect of Failure</t>
        </is>
      </c>
      <c r="F59" s="315" t="inlineStr">
        <is>
          <t>severity</t>
        </is>
      </c>
      <c r="G59" s="315" t="inlineStr">
        <is>
          <t>Potential failure causes/mechanisms</t>
        </is>
      </c>
      <c r="H59" s="315" t="inlineStr">
        <is>
          <t>frequency</t>
        </is>
      </c>
      <c r="I59" s="315" t="inlineStr">
        <is>
          <t>Current process control</t>
        </is>
      </c>
      <c r="J59" s="399" t="n"/>
      <c r="K59" s="315" t="inlineStr">
        <is>
          <t>detectivity</t>
        </is>
      </c>
      <c r="L59" s="315" t="inlineStr">
        <is>
          <t>Risk order number</t>
        </is>
      </c>
      <c r="M59" s="315" t="inlineStr">
        <is>
          <t>Suggested corrective/preventive measures</t>
        </is>
      </c>
      <c r="N59" s="315" t="inlineStr">
        <is>
          <t>Dept.</t>
        </is>
      </c>
      <c r="O59" s="315" t="inlineStr">
        <is>
          <t xml:space="preserve"> Improved</t>
        </is>
      </c>
      <c r="P59" s="405" t="n"/>
      <c r="Q59" s="405" t="n"/>
      <c r="R59" s="405" t="n"/>
      <c r="S59" s="399" t="n"/>
    </row>
    <row r="60" ht="23" customFormat="1" customHeight="1" s="105">
      <c r="A60" s="406" t="n"/>
      <c r="B60" s="406" t="n"/>
      <c r="C60" s="406" t="n"/>
      <c r="D60" s="406" t="n"/>
      <c r="E60" s="406" t="n"/>
      <c r="F60" s="315" t="inlineStr">
        <is>
          <t>S</t>
        </is>
      </c>
      <c r="G60" s="406" t="n"/>
      <c r="H60" s="315" t="inlineStr">
        <is>
          <t>O</t>
        </is>
      </c>
      <c r="I60" s="315" t="inlineStr">
        <is>
          <t xml:space="preserve"> Prevent</t>
        </is>
      </c>
      <c r="J60" s="315" t="inlineStr">
        <is>
          <t xml:space="preserve"> Detection</t>
        </is>
      </c>
      <c r="K60" s="315" t="inlineStr">
        <is>
          <t>D</t>
        </is>
      </c>
      <c r="L60" s="315" t="inlineStr">
        <is>
          <t>RPN</t>
        </is>
      </c>
      <c r="M60" s="406" t="n"/>
      <c r="N60" s="406" t="n"/>
      <c r="O60" s="165" t="inlineStr">
        <is>
          <t>Implementation of measures</t>
        </is>
      </c>
      <c r="P60" s="315" t="inlineStr">
        <is>
          <t>S</t>
        </is>
      </c>
      <c r="Q60" s="315" t="inlineStr">
        <is>
          <t>O</t>
        </is>
      </c>
      <c r="R60" s="315" t="inlineStr">
        <is>
          <t>D</t>
        </is>
      </c>
      <c r="S60" s="315" t="inlineStr">
        <is>
          <t>RPN</t>
        </is>
      </c>
    </row>
    <row r="61" ht="42.5" customHeight="1">
      <c r="A61" s="309" t="n">
        <v>14</v>
      </c>
      <c r="B61" s="325" t="inlineStr">
        <is>
          <t>Store</t>
        </is>
      </c>
      <c r="C61" s="330" t="inlineStr">
        <is>
          <t>Correct warehousing of products</t>
        </is>
      </c>
      <c r="D61" s="330" t="inlineStr">
        <is>
          <t>Incorrect inbound specifications</t>
        </is>
      </c>
      <c r="E61" s="330" t="inlineStr">
        <is>
          <t>It's affecting the process. Users are very unhappy.</t>
        </is>
      </c>
      <c r="F61" s="325" t="n">
        <v>3</v>
      </c>
      <c r="G61" s="330" t="inlineStr">
        <is>
          <t>tagging error</t>
        </is>
      </c>
      <c r="H61" s="325" t="n">
        <v>1</v>
      </c>
      <c r="I61" s="330" t="inlineStr">
        <is>
          <t>Utilizing coding machines for stocking</t>
        </is>
      </c>
      <c r="J61" s="330" t="inlineStr">
        <is>
          <t>visual inspection</t>
        </is>
      </c>
      <c r="K61" s="325" t="n">
        <v>1</v>
      </c>
      <c r="L61" s="325" t="n">
        <v>3</v>
      </c>
      <c r="M61" s="330" t="inlineStr">
        <is>
          <t>none</t>
        </is>
      </c>
      <c r="N61" s="325" t="inlineStr">
        <is>
          <t>/</t>
        </is>
      </c>
      <c r="O61" s="325" t="inlineStr">
        <is>
          <t>/</t>
        </is>
      </c>
      <c r="P61" s="325" t="inlineStr">
        <is>
          <t>/</t>
        </is>
      </c>
      <c r="Q61" s="325" t="inlineStr">
        <is>
          <t>/</t>
        </is>
      </c>
      <c r="R61" s="325" t="inlineStr">
        <is>
          <t>/</t>
        </is>
      </c>
      <c r="S61" s="325" t="inlineStr">
        <is>
          <t>/</t>
        </is>
      </c>
    </row>
    <row r="62" ht="158.5" customHeight="1">
      <c r="A62" s="408" t="n"/>
      <c r="B62" s="408" t="n"/>
      <c r="C62" s="330" t="inlineStr">
        <is>
          <t xml:space="preserve">Integrity of product packaging during transportation or storage
</t>
        </is>
      </c>
      <c r="D62" s="330" t="inlineStr">
        <is>
          <t>Damaged or incomplete product packaging</t>
        </is>
      </c>
      <c r="E62" s="330" t="inlineStr">
        <is>
          <t>The product is unusable or part of the performance is degraded or fails, and the customer is dissatisfied</t>
        </is>
      </c>
      <c r="F62" s="325" t="n">
        <v>4</v>
      </c>
      <c r="G62" s="330" t="inlineStr">
        <is>
          <t>1. Violent operation, packaging was broken or extrusion
2.The products are bumped or dropped during transit, and scratched by sharp objects.
3.The storage environment does not meet the requirements of product design.</t>
        </is>
      </c>
      <c r="H62" s="325" t="n">
        <v>2</v>
      </c>
      <c r="I62" s="330" t="inlineStr">
        <is>
          <t>1. Carry and place gently during transit
2. Use of pallets in the transfer process
3. Daily inspection of the storage environment</t>
        </is>
      </c>
      <c r="J62" s="330" t="inlineStr">
        <is>
          <t>visual inspection</t>
        </is>
      </c>
      <c r="K62" s="325" t="n">
        <v>2</v>
      </c>
      <c r="L62" s="325">
        <f>F62*H62*K62</f>
        <v/>
      </c>
      <c r="M62" s="330" t="inlineStr">
        <is>
          <t>none</t>
        </is>
      </c>
      <c r="N62" s="325" t="inlineStr">
        <is>
          <t>/</t>
        </is>
      </c>
      <c r="O62" s="325" t="inlineStr">
        <is>
          <t>/</t>
        </is>
      </c>
      <c r="P62" s="325" t="inlineStr">
        <is>
          <t>/</t>
        </is>
      </c>
      <c r="Q62" s="325" t="inlineStr">
        <is>
          <t>/</t>
        </is>
      </c>
      <c r="R62" s="325" t="inlineStr">
        <is>
          <t>/</t>
        </is>
      </c>
      <c r="S62" s="325" t="inlineStr">
        <is>
          <t>/</t>
        </is>
      </c>
    </row>
    <row r="63" ht="158.5" customFormat="1" customHeight="1" s="105">
      <c r="A63" s="406" t="n"/>
      <c r="B63" s="406" t="n"/>
      <c r="C63" s="330" t="inlineStr">
        <is>
          <t>Container labels and marking information can be correctly identified during transportation or storage.</t>
        </is>
      </c>
      <c r="D63" s="330" t="inlineStr">
        <is>
          <t>Outer box labels and markings are damaged and not properly identifiable</t>
        </is>
      </c>
      <c r="E63" s="330" t="inlineStr">
        <is>
          <t>Inability to correctly identify product information</t>
        </is>
      </c>
      <c r="F63" s="325" t="n">
        <v>3</v>
      </c>
      <c r="G63" s="330" t="inlineStr">
        <is>
          <t>1. Violent operation, packaging was broken or extrusion
2.The products are bumped or dropped during transit, and scratched by sharp objects.
3.The storage environment does not meet the requirements of product design.</t>
        </is>
      </c>
      <c r="H63" s="325" t="n">
        <v>2</v>
      </c>
      <c r="I63" s="330" t="inlineStr">
        <is>
          <t>1. Carry and place gently during transit
2. Use of pallets in the transfer process
3. Daily inspection of the storage environment</t>
        </is>
      </c>
      <c r="J63" s="330" t="inlineStr">
        <is>
          <t>visual inspection</t>
        </is>
      </c>
      <c r="K63" s="325" t="n">
        <v>2</v>
      </c>
      <c r="L63" s="325">
        <f>F63*H63*K63</f>
        <v/>
      </c>
      <c r="M63" s="330" t="inlineStr">
        <is>
          <t>none</t>
        </is>
      </c>
      <c r="N63" s="325" t="inlineStr">
        <is>
          <t>/</t>
        </is>
      </c>
      <c r="O63" s="325" t="inlineStr">
        <is>
          <t>/</t>
        </is>
      </c>
      <c r="P63" s="325" t="inlineStr">
        <is>
          <t>/</t>
        </is>
      </c>
      <c r="Q63" s="325" t="inlineStr">
        <is>
          <t>/</t>
        </is>
      </c>
      <c r="R63" s="325" t="inlineStr">
        <is>
          <t>/</t>
        </is>
      </c>
      <c r="S63" s="325" t="inlineStr">
        <is>
          <t>/</t>
        </is>
      </c>
    </row>
    <row r="64" ht="27.75" customHeight="1">
      <c r="A64" s="309" t="n"/>
      <c r="B64" s="396" t="n"/>
      <c r="C64" s="396" t="n"/>
      <c r="D64" s="397" t="n"/>
      <c r="E64" s="310" t="inlineStr">
        <is>
          <t>Single-use Video Pancreaticobiliary Scope PFMEA （G06 EU）</t>
        </is>
      </c>
      <c r="F64" s="396" t="n"/>
      <c r="G64" s="396" t="n"/>
      <c r="H64" s="396" t="n"/>
      <c r="I64" s="396" t="n"/>
      <c r="J64" s="396" t="n"/>
      <c r="K64" s="396" t="n"/>
      <c r="L64" s="397" t="n"/>
      <c r="M64" s="113" t="inlineStr">
        <is>
          <t xml:space="preserve">File No.           </t>
        </is>
      </c>
      <c r="N64" s="347">
        <f>封面!$L$1</f>
        <v/>
      </c>
      <c r="O64" s="405" t="n"/>
      <c r="P64" s="405" t="n"/>
      <c r="Q64" s="405" t="n"/>
      <c r="R64" s="405" t="n"/>
      <c r="S64" s="399" t="n"/>
    </row>
    <row r="65" ht="29.25" customHeight="1">
      <c r="A65" s="400" t="n"/>
      <c r="D65" s="401" t="n"/>
      <c r="E65" s="400" t="n"/>
      <c r="L65" s="401" t="n"/>
      <c r="M65" s="113" t="inlineStr">
        <is>
          <t xml:space="preserve">Rev:                </t>
        </is>
      </c>
      <c r="N65" s="347">
        <f>封面!$L$2</f>
        <v/>
      </c>
      <c r="O65" s="405" t="n"/>
      <c r="P65" s="405" t="n"/>
      <c r="Q65" s="405" t="n"/>
      <c r="R65" s="405" t="n"/>
      <c r="S65" s="399" t="n"/>
    </row>
    <row r="66" ht="15.5" customHeight="1">
      <c r="A66" s="402" t="n"/>
      <c r="B66" s="403" t="n"/>
      <c r="C66" s="403" t="n"/>
      <c r="D66" s="404" t="n"/>
      <c r="E66" s="402" t="n"/>
      <c r="F66" s="403" t="n"/>
      <c r="G66" s="403" t="n"/>
      <c r="H66" s="403" t="n"/>
      <c r="I66" s="403" t="n"/>
      <c r="J66" s="403" t="n"/>
      <c r="K66" s="403" t="n"/>
      <c r="L66" s="404" t="n"/>
      <c r="M66" s="114" t="inlineStr">
        <is>
          <t xml:space="preserve">Page     of            
</t>
        </is>
      </c>
      <c r="N66" s="265" t="inlineStr">
        <is>
          <t>Page 13 of 14</t>
        </is>
      </c>
      <c r="O66" s="405" t="n"/>
      <c r="P66" s="405" t="n"/>
      <c r="Q66" s="405" t="n"/>
      <c r="R66" s="405" t="n"/>
      <c r="S66" s="399" t="n"/>
    </row>
    <row r="67" ht="17.5" customFormat="1" customHeight="1" s="411">
      <c r="A67" s="416" t="inlineStr">
        <is>
          <t>Explanation：Principles for preparing PFMEA:</t>
        </is>
      </c>
      <c r="B67" s="405" t="n"/>
      <c r="C67" s="405" t="n"/>
      <c r="D67" s="405" t="n"/>
      <c r="E67" s="405" t="n"/>
      <c r="F67" s="405" t="n"/>
      <c r="G67" s="405" t="n"/>
      <c r="H67" s="405" t="n"/>
      <c r="I67" s="405" t="n"/>
      <c r="J67" s="405" t="n"/>
      <c r="K67" s="405" t="n"/>
      <c r="L67" s="405" t="n"/>
      <c r="M67" s="405" t="n"/>
      <c r="N67" s="405" t="n"/>
      <c r="O67" s="405" t="n"/>
      <c r="P67" s="405" t="n"/>
      <c r="Q67" s="405" t="n"/>
      <c r="R67" s="405" t="n"/>
      <c r="S67" s="399" t="n"/>
    </row>
    <row r="68" ht="40" customFormat="1" customHeight="1" s="417">
      <c r="A68" s="166" t="n"/>
      <c r="B68" s="316" t="inlineStr">
        <is>
          <t>S=Severity</t>
        </is>
      </c>
      <c r="C68" s="405" t="n"/>
      <c r="D68" s="405" t="n"/>
      <c r="E68" s="405" t="n"/>
      <c r="F68" s="399" t="n"/>
      <c r="G68" s="316" t="inlineStr">
        <is>
          <t>O=Frequentness</t>
        </is>
      </c>
      <c r="H68" s="405" t="n"/>
      <c r="I68" s="399" t="n"/>
      <c r="J68" s="316" t="inlineStr">
        <is>
          <t>D=Detectability</t>
        </is>
      </c>
      <c r="K68" s="405" t="n"/>
      <c r="L68" s="405" t="n"/>
      <c r="M68" s="399" t="n"/>
      <c r="N68" s="316" t="inlineStr">
        <is>
          <t>R=RPN</t>
        </is>
      </c>
      <c r="O68" s="405" t="n"/>
      <c r="P68" s="405" t="n"/>
      <c r="Q68" s="405" t="n"/>
      <c r="R68" s="405" t="n"/>
      <c r="S68" s="399" t="n"/>
    </row>
    <row r="69" ht="64" customFormat="1" customHeight="1" s="418">
      <c r="A69" s="166" t="n"/>
      <c r="B69" s="316" t="inlineStr">
        <is>
          <t>1.Negligible: No impact on downstream processes or negligible impact on product performance; It will not cause user complaints, personnel injury, property or environmental damage.</t>
        </is>
      </c>
      <c r="C69" s="405" t="n"/>
      <c r="D69" s="405" t="n"/>
      <c r="E69" s="405" t="n"/>
      <c r="F69" s="399" t="n"/>
      <c r="G69" s="316" t="inlineStr">
        <is>
          <t>1.Very little：＜10-6；</t>
        </is>
      </c>
      <c r="H69" s="405" t="n"/>
      <c r="I69" s="399" t="n"/>
      <c r="J69" s="316" t="inlineStr">
        <is>
          <t>1.Basic ability: The design adopts error prevention measures and will not produce defective components;</t>
        </is>
      </c>
      <c r="K69" s="405" t="n"/>
      <c r="L69" s="405" t="n"/>
      <c r="M69" s="399" t="n"/>
      <c r="N69" s="316" t="inlineStr">
        <is>
          <t>R=S x O x D</t>
        </is>
      </c>
      <c r="O69" s="405" t="n"/>
      <c r="P69" s="405" t="n"/>
      <c r="Q69" s="405" t="n"/>
      <c r="R69" s="405" t="n"/>
      <c r="S69" s="399" t="n"/>
    </row>
    <row r="70" ht="64" customHeight="1">
      <c r="A70" s="166" t="n"/>
      <c r="B70" s="316" t="inlineStr">
        <is>
          <t>2.Mild: The current and downstream processes are affected or have a slight impact on product performance; The performance has decreased, but the expected function can be achieved, which may cause slight complaints from the operator, but will not cause personal injury.</t>
        </is>
      </c>
      <c r="C70" s="405" t="n"/>
      <c r="D70" s="405" t="n"/>
      <c r="E70" s="405" t="n"/>
      <c r="F70" s="399" t="n"/>
      <c r="G70" s="316" t="inlineStr">
        <is>
          <t>2.Little：&lt;10-5 和 ≥10-6；</t>
        </is>
      </c>
      <c r="H70" s="405" t="n"/>
      <c r="I70" s="399" t="n"/>
      <c r="J70" s="316" t="inlineStr">
        <is>
          <t>2.It is highly possible to detect errors on the spot, or to detect errors in subsequent operations using the principle of multiple detections.</t>
        </is>
      </c>
      <c r="K70" s="405" t="n"/>
      <c r="L70" s="405" t="n"/>
      <c r="M70" s="399" t="n"/>
      <c r="N70" s="316" t="inlineStr">
        <is>
          <t>1.RPN value 1-20, low risk: generally acceptable;</t>
        </is>
      </c>
      <c r="O70" s="405" t="n"/>
      <c r="P70" s="405" t="n"/>
      <c r="Q70" s="405" t="n"/>
      <c r="R70" s="405" t="n"/>
      <c r="S70" s="399" t="n"/>
    </row>
    <row r="71" ht="64" customHeight="1">
      <c r="A71" s="166" t="n"/>
      <c r="B71" s="316" t="inlineStr">
        <is>
          <t>3.Moderate: downstream process interruption or moderate impact on product performance; The performance of the product decreases, but it can achieve the expected function, which may cause patient injury, but does not require professional medical intervention.</t>
        </is>
      </c>
      <c r="C71" s="405" t="n"/>
      <c r="D71" s="405" t="n"/>
      <c r="E71" s="405" t="n"/>
      <c r="F71" s="399" t="n"/>
      <c r="G71" s="316" t="inlineStr">
        <is>
          <t>3Accidental：&lt;10-4 和 ≥10-5；</t>
        </is>
      </c>
      <c r="H71" s="405" t="n"/>
      <c r="I71" s="399" t="n"/>
      <c r="J71" s="316" t="inlineStr">
        <is>
          <t>3.Possible: can only be detected through indirect or double inspection.</t>
        </is>
      </c>
      <c r="K71" s="405" t="n"/>
      <c r="L71" s="405" t="n"/>
      <c r="M71" s="399" t="n"/>
      <c r="N71" s="316" t="inlineStr">
        <is>
          <t>2.RPN value 21-40, medium risk: further analysis and investigation can reduce the risk;</t>
        </is>
      </c>
      <c r="O71" s="405" t="n"/>
      <c r="P71" s="405" t="n"/>
      <c r="Q71" s="405" t="n"/>
      <c r="R71" s="405" t="n"/>
      <c r="S71" s="399" t="n"/>
    </row>
    <row r="72" ht="64" customHeight="1">
      <c r="A72" s="178" t="n"/>
      <c r="B72" s="316" t="inlineStr">
        <is>
          <t>4.Serious: leading to serious shutdown and causing serious economic losses, or having a serious impact on product performance; The product loses its intended function or causes patient injury, requiring professional medical intervention; Causing damage to property or the environment.</t>
        </is>
      </c>
      <c r="C72" s="405" t="n"/>
      <c r="D72" s="405" t="n"/>
      <c r="E72" s="405" t="n"/>
      <c r="F72" s="399" t="n"/>
      <c r="G72" s="316" t="inlineStr">
        <is>
          <t>4.Sometimes：&lt;10-3 和 ≥10-4；</t>
        </is>
      </c>
      <c r="H72" s="405" t="n"/>
      <c r="I72" s="399" t="n"/>
      <c r="J72" s="316" t="inlineStr">
        <is>
          <t>4.Impossible: can only be detected through indirect or random inspections.</t>
        </is>
      </c>
      <c r="K72" s="405" t="n"/>
      <c r="L72" s="405" t="n"/>
      <c r="M72" s="399" t="n"/>
      <c r="N72" s="316" t="inlineStr">
        <is>
          <t>3.RPN value of 40+, high risk: unacceptable, cutting measures must be taken to reduce risk;</t>
        </is>
      </c>
      <c r="O72" s="405" t="n"/>
      <c r="P72" s="405" t="n"/>
      <c r="Q72" s="405" t="n"/>
      <c r="R72" s="405" t="n"/>
      <c r="S72" s="399" t="n"/>
    </row>
    <row r="73" ht="110" customHeight="1">
      <c r="A73" s="179" t="n"/>
      <c r="B73" s="316" t="inlineStr">
        <is>
          <t>5.Extremely serious: causing the production line to shut down, injuring operators, or having an extremely serious impact on product performance; Causing irreversible damage to the patient, such as disability or death.</t>
        </is>
      </c>
      <c r="C73" s="405" t="n"/>
      <c r="D73" s="405" t="n"/>
      <c r="E73" s="405" t="n"/>
      <c r="F73" s="399" t="n"/>
      <c r="G73" s="316" t="inlineStr">
        <is>
          <t>5.Often：≥10-3</t>
        </is>
      </c>
      <c r="H73" s="405" t="n"/>
      <c r="I73" s="399" t="n"/>
      <c r="J73" s="316" t="inlineStr">
        <is>
          <t>5.Almost impossible: unable to detect or without detection.</t>
        </is>
      </c>
      <c r="K73" s="405" t="n"/>
      <c r="L73" s="405" t="n"/>
      <c r="M73" s="399" t="n"/>
      <c r="N73" s="316" t="inlineStr">
        <is>
          <t>When the risk severity is ≥ 3, according to the definition of the risk severity criterion, harm has already been caused. Therefore, regardless of whether the risk index is acceptable, it is necessary to forcibly ensure that the risk is reduced or measured through existing design controls or suggested measures to reduce the probability of risk occurrence;</t>
        </is>
      </c>
      <c r="O73" s="405" t="n"/>
      <c r="P73" s="405" t="n"/>
      <c r="Q73" s="405" t="n"/>
      <c r="R73" s="405" t="n"/>
      <c r="S73" s="399" t="n"/>
    </row>
    <row r="74">
      <c r="A74" s="237" t="n"/>
      <c r="B74" s="405" t="n"/>
      <c r="C74" s="405" t="n"/>
      <c r="D74" s="405" t="n"/>
      <c r="E74" s="405" t="n"/>
      <c r="F74" s="405" t="n"/>
      <c r="G74" s="405" t="n"/>
      <c r="H74" s="405" t="n"/>
      <c r="I74" s="405" t="n"/>
      <c r="J74" s="405" t="n"/>
      <c r="K74" s="405" t="n"/>
      <c r="L74" s="405" t="n"/>
      <c r="M74" s="405" t="n"/>
      <c r="N74" s="405" t="n"/>
      <c r="O74" s="405" t="n"/>
      <c r="P74" s="405" t="n"/>
      <c r="Q74" s="405" t="n"/>
      <c r="R74" s="405" t="n"/>
      <c r="S74" s="399" t="n"/>
    </row>
    <row r="75">
      <c r="A75" s="321" t="inlineStr">
        <is>
          <t>Confidentiality:  This document contains information that is confidential and proprietary property of  Transmed (China) Co., Ltd.. Neither this document nor the information therein may be reproduced, used or distributed to or for the benefit of any third party without prior written consent of  Transmed (China) Co., Ltd..</t>
        </is>
      </c>
      <c r="B75" s="396" t="n"/>
      <c r="C75" s="396" t="n"/>
      <c r="D75" s="396" t="n"/>
      <c r="E75" s="396" t="n"/>
      <c r="F75" s="396" t="n"/>
      <c r="G75" s="396" t="n"/>
      <c r="H75" s="396" t="n"/>
      <c r="I75" s="396" t="n"/>
      <c r="J75" s="396" t="n"/>
      <c r="K75" s="396" t="n"/>
      <c r="L75" s="396" t="n"/>
      <c r="M75" s="396" t="n"/>
      <c r="N75" s="396" t="n"/>
      <c r="O75" s="396" t="n"/>
      <c r="P75" s="396" t="n"/>
      <c r="Q75" s="396" t="n"/>
      <c r="R75" s="396" t="n"/>
      <c r="S75" s="396" t="n"/>
    </row>
    <row r="76"/>
  </sheetData>
  <mergeCells count="202">
    <mergeCell ref="E39:E40"/>
    <mergeCell ref="E16:L18"/>
    <mergeCell ref="N71:S71"/>
    <mergeCell ref="A51:A52"/>
    <mergeCell ref="N23:S23"/>
    <mergeCell ref="N18:S18"/>
    <mergeCell ref="N58:S58"/>
    <mergeCell ref="A29:A31"/>
    <mergeCell ref="B71:F71"/>
    <mergeCell ref="N8:S8"/>
    <mergeCell ref="N64:S64"/>
    <mergeCell ref="I26:J26"/>
    <mergeCell ref="N73:S73"/>
    <mergeCell ref="A13:A15"/>
    <mergeCell ref="E8:L10"/>
    <mergeCell ref="H39:H40"/>
    <mergeCell ref="B39:B42"/>
    <mergeCell ref="N57:S57"/>
    <mergeCell ref="N10:S10"/>
    <mergeCell ref="G73:I73"/>
    <mergeCell ref="E49:E50"/>
    <mergeCell ref="L39:L40"/>
    <mergeCell ref="G49:G50"/>
    <mergeCell ref="B37:B38"/>
    <mergeCell ref="N34:S34"/>
    <mergeCell ref="Q49:Q50"/>
    <mergeCell ref="H13:H14"/>
    <mergeCell ref="S49:S50"/>
    <mergeCell ref="E34:L36"/>
    <mergeCell ref="G51:G52"/>
    <mergeCell ref="J69:M69"/>
    <mergeCell ref="I51:I52"/>
    <mergeCell ref="N36:S36"/>
    <mergeCell ref="J51:J52"/>
    <mergeCell ref="A16:D18"/>
    <mergeCell ref="A59:A60"/>
    <mergeCell ref="C32:S32"/>
    <mergeCell ref="A39:A42"/>
    <mergeCell ref="B26:B27"/>
    <mergeCell ref="M59:M60"/>
    <mergeCell ref="N3:S3"/>
    <mergeCell ref="N26:N27"/>
    <mergeCell ref="D49:D50"/>
    <mergeCell ref="P51:P52"/>
    <mergeCell ref="M39:M40"/>
    <mergeCell ref="C4:C5"/>
    <mergeCell ref="A8:D10"/>
    <mergeCell ref="I46:J46"/>
    <mergeCell ref="E4:E5"/>
    <mergeCell ref="E13:E14"/>
    <mergeCell ref="O19:S19"/>
    <mergeCell ref="B72:F72"/>
    <mergeCell ref="G69:I69"/>
    <mergeCell ref="B11:B12"/>
    <mergeCell ref="D11:D12"/>
    <mergeCell ref="C33:S33"/>
    <mergeCell ref="N1:S1"/>
    <mergeCell ref="G39:G40"/>
    <mergeCell ref="H49:H50"/>
    <mergeCell ref="J49:J50"/>
    <mergeCell ref="J71:M71"/>
    <mergeCell ref="B70:F70"/>
    <mergeCell ref="E64:L66"/>
    <mergeCell ref="A26:A27"/>
    <mergeCell ref="A34:D36"/>
    <mergeCell ref="A67:S67"/>
    <mergeCell ref="A46:A47"/>
    <mergeCell ref="J73:M73"/>
    <mergeCell ref="A37:A38"/>
    <mergeCell ref="C46:C47"/>
    <mergeCell ref="A64:D66"/>
    <mergeCell ref="E46:E47"/>
    <mergeCell ref="M37:M38"/>
    <mergeCell ref="C55:S55"/>
    <mergeCell ref="A21:A22"/>
    <mergeCell ref="O4:S4"/>
    <mergeCell ref="N24:S24"/>
    <mergeCell ref="A1:D3"/>
    <mergeCell ref="C51:C52"/>
    <mergeCell ref="O59:S59"/>
    <mergeCell ref="N65:S65"/>
    <mergeCell ref="O51:O52"/>
    <mergeCell ref="D37:D38"/>
    <mergeCell ref="O46:S46"/>
    <mergeCell ref="J68:M68"/>
    <mergeCell ref="N35:S35"/>
    <mergeCell ref="E26:E27"/>
    <mergeCell ref="A19:A20"/>
    <mergeCell ref="G26:G27"/>
    <mergeCell ref="C19:C20"/>
    <mergeCell ref="B68:F68"/>
    <mergeCell ref="G71:I71"/>
    <mergeCell ref="N16:S16"/>
    <mergeCell ref="B61:B63"/>
    <mergeCell ref="S51:S52"/>
    <mergeCell ref="N25:S25"/>
    <mergeCell ref="B48:B50"/>
    <mergeCell ref="D26:D27"/>
    <mergeCell ref="N39:N41"/>
    <mergeCell ref="I19:J19"/>
    <mergeCell ref="B29:B31"/>
    <mergeCell ref="I59:J59"/>
    <mergeCell ref="N66:S66"/>
    <mergeCell ref="G11:G12"/>
    <mergeCell ref="A11:A12"/>
    <mergeCell ref="M49:M50"/>
    <mergeCell ref="A56:D58"/>
    <mergeCell ref="O49:O50"/>
    <mergeCell ref="N2:S2"/>
    <mergeCell ref="N68:S68"/>
    <mergeCell ref="I11:J11"/>
    <mergeCell ref="M11:M12"/>
    <mergeCell ref="N46:N47"/>
    <mergeCell ref="G68:I68"/>
    <mergeCell ref="P49:P50"/>
    <mergeCell ref="C59:C60"/>
    <mergeCell ref="R49:R50"/>
    <mergeCell ref="E59:E60"/>
    <mergeCell ref="M46:M47"/>
    <mergeCell ref="F51:F52"/>
    <mergeCell ref="H51:H52"/>
    <mergeCell ref="C21:C22"/>
    <mergeCell ref="E23:L25"/>
    <mergeCell ref="R51:R52"/>
    <mergeCell ref="E1:L3"/>
    <mergeCell ref="G37:G38"/>
    <mergeCell ref="I37:J37"/>
    <mergeCell ref="N19:N20"/>
    <mergeCell ref="B73:F73"/>
    <mergeCell ref="I39:I40"/>
    <mergeCell ref="A4:A5"/>
    <mergeCell ref="C39:C42"/>
    <mergeCell ref="C29:C31"/>
    <mergeCell ref="F39:F40"/>
    <mergeCell ref="N70:S70"/>
    <mergeCell ref="G72:I72"/>
    <mergeCell ref="A61:A63"/>
    <mergeCell ref="N59:N60"/>
    <mergeCell ref="F49:F50"/>
    <mergeCell ref="M26:M27"/>
    <mergeCell ref="N11:N12"/>
    <mergeCell ref="B4:B5"/>
    <mergeCell ref="G70:I70"/>
    <mergeCell ref="B13:B15"/>
    <mergeCell ref="A74:S74"/>
    <mergeCell ref="N4:N5"/>
    <mergeCell ref="N56:S56"/>
    <mergeCell ref="I49:I50"/>
    <mergeCell ref="B21:B22"/>
    <mergeCell ref="O37:S37"/>
    <mergeCell ref="K49:K50"/>
    <mergeCell ref="N43:S43"/>
    <mergeCell ref="C53:S53"/>
    <mergeCell ref="E56:L58"/>
    <mergeCell ref="E43:L45"/>
    <mergeCell ref="K51:K52"/>
    <mergeCell ref="M51:M52"/>
    <mergeCell ref="B46:B47"/>
    <mergeCell ref="D46:D47"/>
    <mergeCell ref="N17:S17"/>
    <mergeCell ref="E19:E20"/>
    <mergeCell ref="A23:D25"/>
    <mergeCell ref="G19:G20"/>
    <mergeCell ref="N37:N38"/>
    <mergeCell ref="C26:C27"/>
    <mergeCell ref="N44:S44"/>
    <mergeCell ref="Q51:Q52"/>
    <mergeCell ref="A43:D45"/>
    <mergeCell ref="D4:D5"/>
    <mergeCell ref="A75:S76"/>
    <mergeCell ref="J39:J41"/>
    <mergeCell ref="C11:C12"/>
    <mergeCell ref="N9:S9"/>
    <mergeCell ref="E11:E12"/>
    <mergeCell ref="O26:S26"/>
    <mergeCell ref="N69:S69"/>
    <mergeCell ref="J72:M72"/>
    <mergeCell ref="B19:B20"/>
    <mergeCell ref="K39:K40"/>
    <mergeCell ref="B69:F69"/>
    <mergeCell ref="A48:A50"/>
    <mergeCell ref="L51:L52"/>
    <mergeCell ref="G4:G5"/>
    <mergeCell ref="N45:S45"/>
    <mergeCell ref="G59:G60"/>
    <mergeCell ref="L49:L50"/>
    <mergeCell ref="C13:C14"/>
    <mergeCell ref="N49:N50"/>
    <mergeCell ref="D19:D20"/>
    <mergeCell ref="I4:J4"/>
    <mergeCell ref="M4:M5"/>
    <mergeCell ref="B51:B52"/>
    <mergeCell ref="O11:S11"/>
    <mergeCell ref="J70:M70"/>
    <mergeCell ref="M19:M20"/>
    <mergeCell ref="N51:N52"/>
    <mergeCell ref="C37:C38"/>
    <mergeCell ref="E37:E38"/>
    <mergeCell ref="G46:G47"/>
    <mergeCell ref="N72:S72"/>
    <mergeCell ref="B59:B60"/>
    <mergeCell ref="D59:D60"/>
  </mergeCells>
  <pageMargins left="0.7086614173228347" right="0.7086614173228347" top="0.7480314960629921" bottom="0.7480314960629921" header="0.3149606299212598" footer="0.3149606299212598"/>
  <pageSetup orientation="landscape" paperSize="9" scale="66"/>
  <rowBreaks count="7" manualBreakCount="7">
    <brk id="7" min="0" max="18" man="1"/>
    <brk id="15" min="0" max="18" man="1"/>
    <brk id="22" min="0" max="18" man="1"/>
    <brk id="33" min="0" max="18" man="1"/>
    <brk id="42" min="0" max="18" man="1"/>
    <brk id="55" min="0" max="18" man="1"/>
    <brk id="63" min="0" max="18" man="1"/>
  </rowBreaks>
</worksheet>
</file>

<file path=xl/worksheets/sheet9.xml><?xml version="1.0" encoding="utf-8"?>
<worksheet xmlns="http://schemas.openxmlformats.org/spreadsheetml/2006/main">
  <sheetPr>
    <outlinePr summaryBelow="1" summaryRight="1"/>
    <pageSetUpPr/>
  </sheetPr>
  <dimension ref="A1:M14"/>
  <sheetViews>
    <sheetView view="pageBreakPreview" topLeftCell="A4" zoomScale="70" zoomScaleNormal="100" zoomScaleSheetLayoutView="70" workbookViewId="0">
      <selection activeCell="L10" sqref="L10:M10"/>
    </sheetView>
  </sheetViews>
  <sheetFormatPr baseColWidth="8" defaultColWidth="9.81640625" defaultRowHeight="14"/>
  <cols>
    <col width="8.81640625" customWidth="1" style="219" min="1" max="1"/>
    <col width="4.54296875" customWidth="1" style="219" min="2" max="2"/>
    <col width="8" customWidth="1" style="219" min="3" max="3"/>
    <col width="10.453125" customWidth="1" style="219" min="4" max="4"/>
    <col width="4.54296875" customWidth="1" style="219" min="5" max="5"/>
    <col width="9.453125" customWidth="1" style="219" min="6" max="6"/>
    <col width="13.54296875" customWidth="1" style="219" min="7" max="7"/>
    <col width="11.1796875" customWidth="1" style="219" min="8" max="8"/>
    <col width="14.7265625" customWidth="1" style="219" min="9" max="9"/>
    <col width="9.81640625" customWidth="1" style="219" min="10" max="10"/>
    <col width="13.26953125" customWidth="1" style="219" min="11" max="11"/>
    <col width="9.81640625" customWidth="1" style="219" min="12" max="16384"/>
  </cols>
  <sheetData>
    <row r="1" ht="30.75" customHeight="1">
      <c r="A1" s="232" t="n"/>
      <c r="B1" s="396" t="n"/>
      <c r="C1" s="396" t="n"/>
      <c r="D1" s="397" t="n"/>
      <c r="E1" s="419">
        <f>封面!E1</f>
        <v/>
      </c>
      <c r="F1" s="396" t="n"/>
      <c r="G1" s="396" t="n"/>
      <c r="H1" s="396" t="n"/>
      <c r="I1" s="396" t="n"/>
      <c r="J1" s="396" t="n"/>
      <c r="K1" s="113" t="inlineStr">
        <is>
          <t>File No.           
文件编号</t>
        </is>
      </c>
      <c r="L1" s="365">
        <f>封面!L1</f>
        <v/>
      </c>
      <c r="M1" s="399" t="n"/>
    </row>
    <row r="2" ht="30" customHeight="1">
      <c r="A2" s="400" t="n"/>
      <c r="D2" s="401" t="n"/>
      <c r="E2" s="400" t="n"/>
      <c r="K2" s="113" t="inlineStr">
        <is>
          <t>Rev:                
版本</t>
        </is>
      </c>
      <c r="L2" s="365">
        <f>封面!L2</f>
        <v/>
      </c>
      <c r="M2" s="399" t="n"/>
    </row>
    <row r="3" ht="32.25" customHeight="1">
      <c r="A3" s="402" t="n"/>
      <c r="B3" s="403" t="n"/>
      <c r="C3" s="403" t="n"/>
      <c r="D3" s="404" t="n"/>
      <c r="E3" s="402" t="n"/>
      <c r="F3" s="403" t="n"/>
      <c r="G3" s="403" t="n"/>
      <c r="H3" s="403" t="n"/>
      <c r="I3" s="403" t="n"/>
      <c r="J3" s="403" t="n"/>
      <c r="K3" s="114" t="inlineStr">
        <is>
          <t>Page     of            
第  页/共  页</t>
        </is>
      </c>
      <c r="L3" s="265" t="inlineStr">
        <is>
          <t>第 14 页 / 共14 页</t>
        </is>
      </c>
      <c r="M3" s="399" t="n"/>
    </row>
    <row r="4" ht="20.15" customHeight="1">
      <c r="A4" s="366" t="inlineStr">
        <is>
          <t>版本履历</t>
        </is>
      </c>
      <c r="B4" s="396" t="n"/>
      <c r="C4" s="396" t="n"/>
      <c r="D4" s="396" t="n"/>
      <c r="E4" s="396" t="n"/>
      <c r="F4" s="396" t="n"/>
      <c r="G4" s="396" t="n"/>
      <c r="H4" s="396" t="n"/>
      <c r="I4" s="396" t="n"/>
      <c r="J4" s="396" t="n"/>
      <c r="K4" s="396" t="n"/>
      <c r="L4" s="396" t="n"/>
      <c r="M4" s="397" t="n"/>
    </row>
    <row r="5" ht="20.15" customHeight="1">
      <c r="A5" s="402" t="n"/>
      <c r="B5" s="403" t="n"/>
      <c r="C5" s="403" t="n"/>
      <c r="D5" s="403" t="n"/>
      <c r="E5" s="403" t="n"/>
      <c r="F5" s="403" t="n"/>
      <c r="G5" s="403" t="n"/>
      <c r="H5" s="403" t="n"/>
      <c r="I5" s="403" t="n"/>
      <c r="J5" s="403" t="n"/>
      <c r="K5" s="403" t="n"/>
      <c r="L5" s="403" t="n"/>
      <c r="M5" s="404" t="n"/>
    </row>
    <row r="6" ht="48.75" customHeight="1">
      <c r="A6" s="373" t="inlineStr">
        <is>
          <t>序号N0.</t>
        </is>
      </c>
      <c r="B6" s="373" t="inlineStr">
        <is>
          <t>版本Rev:</t>
        </is>
      </c>
      <c r="C6" s="399" t="n"/>
      <c r="D6" s="373" t="inlineStr">
        <is>
          <t>描述description</t>
        </is>
      </c>
      <c r="E6" s="405" t="n"/>
      <c r="F6" s="405" t="n"/>
      <c r="G6" s="405" t="n"/>
      <c r="H6" s="405" t="n"/>
      <c r="I6" s="399" t="n"/>
      <c r="J6" s="373" t="inlineStr">
        <is>
          <t xml:space="preserve">日期date </t>
        </is>
      </c>
      <c r="K6" s="399" t="n"/>
      <c r="L6" s="373" t="inlineStr">
        <is>
          <t>编制人/修订人Prepared by/revised by</t>
        </is>
      </c>
      <c r="M6" s="399" t="n"/>
    </row>
    <row r="7" ht="66" customHeight="1">
      <c r="A7" s="194" t="n">
        <v>1</v>
      </c>
      <c r="B7" s="194" t="inlineStr">
        <is>
          <t>A/0</t>
        </is>
      </c>
      <c r="C7" s="399" t="n"/>
      <c r="D7" s="378" t="inlineStr">
        <is>
          <t>1，本文件由MTN-1007612_A0升版；This document has been upgraded from MTN-1007612-A0;
2，增加改善措施证据Increase evidence of improvement measures.</t>
        </is>
      </c>
      <c r="E7" s="405" t="n"/>
      <c r="F7" s="405" t="n"/>
      <c r="G7" s="405" t="n"/>
      <c r="H7" s="405" t="n"/>
      <c r="I7" s="399" t="n"/>
      <c r="J7" s="420" t="n">
        <v>45666</v>
      </c>
      <c r="K7" s="399" t="n"/>
      <c r="L7" s="368" t="inlineStr">
        <is>
          <t>李文昌</t>
        </is>
      </c>
      <c r="M7" s="399" t="n"/>
    </row>
    <row r="8" ht="66" customHeight="1">
      <c r="A8" s="194" t="n">
        <v>2</v>
      </c>
      <c r="B8" s="194" t="inlineStr">
        <is>
          <t>A/1</t>
        </is>
      </c>
      <c r="C8" s="399" t="n"/>
      <c r="D8" s="356" t="inlineStr">
        <is>
          <t>1.CR00001695:
产品DHR模版增加“标签记录-UDI 条码验证详细说明记录 “QR-0913-004-005  Rev：A/0”，PFMEA中增加“UDI条码信息错误”的潜在失效模式识别；</t>
        </is>
      </c>
      <c r="E8" s="405" t="n"/>
      <c r="F8" s="405" t="n"/>
      <c r="G8" s="405" t="n"/>
      <c r="H8" s="405" t="n"/>
      <c r="I8" s="399" t="n"/>
      <c r="J8" s="421" t="n">
        <v>46087</v>
      </c>
      <c r="K8" s="399" t="n"/>
      <c r="L8" s="368" t="inlineStr">
        <is>
          <t>张洪源</t>
        </is>
      </c>
      <c r="M8" s="399" t="n"/>
    </row>
    <row r="9" ht="35.25" customFormat="1" customHeight="1" s="234">
      <c r="A9" s="235" t="n"/>
      <c r="B9" s="235" t="n"/>
      <c r="C9" s="399" t="n"/>
      <c r="D9" s="235" t="n"/>
      <c r="E9" s="405" t="n"/>
      <c r="F9" s="405" t="n"/>
      <c r="G9" s="405" t="n"/>
      <c r="H9" s="405" t="n"/>
      <c r="I9" s="399" t="n"/>
      <c r="J9" s="422" t="n"/>
      <c r="K9" s="399" t="n"/>
      <c r="L9" s="235" t="n"/>
      <c r="M9" s="399" t="n"/>
    </row>
    <row r="10" ht="33" customHeight="1">
      <c r="A10" s="119" t="n"/>
      <c r="B10" s="235" t="n"/>
      <c r="C10" s="399" t="n"/>
      <c r="D10" s="235" t="n"/>
      <c r="E10" s="405" t="n"/>
      <c r="F10" s="405" t="n"/>
      <c r="G10" s="405" t="n"/>
      <c r="H10" s="405" t="n"/>
      <c r="I10" s="399" t="n"/>
      <c r="J10" s="422" t="n"/>
      <c r="K10" s="399" t="n"/>
      <c r="L10" s="235" t="n"/>
      <c r="M10" s="399" t="n"/>
    </row>
    <row r="11" ht="36.75" customHeight="1">
      <c r="A11" s="235" t="n"/>
      <c r="B11" s="235" t="n"/>
      <c r="C11" s="399" t="n"/>
      <c r="D11" s="235" t="n"/>
      <c r="E11" s="405" t="n"/>
      <c r="F11" s="405" t="n"/>
      <c r="G11" s="405" t="n"/>
      <c r="H11" s="405" t="n"/>
      <c r="I11" s="399" t="n"/>
      <c r="J11" s="422" t="n"/>
      <c r="K11" s="399" t="n"/>
      <c r="L11" s="235" t="n"/>
      <c r="M11" s="399" t="n"/>
    </row>
    <row r="12" ht="36.75" customHeight="1">
      <c r="A12" s="235" t="n"/>
      <c r="B12" s="235" t="n"/>
      <c r="C12" s="399" t="n"/>
      <c r="D12" s="119" t="n"/>
      <c r="E12" s="405" t="n"/>
      <c r="F12" s="405" t="n"/>
      <c r="G12" s="405" t="n"/>
      <c r="H12" s="405" t="n"/>
      <c r="I12" s="399" t="n"/>
      <c r="J12" s="422" t="n"/>
      <c r="K12" s="399" t="n"/>
      <c r="L12" s="235" t="n"/>
      <c r="M12" s="399" t="n"/>
    </row>
    <row r="13" ht="36.75" customHeight="1">
      <c r="A13" s="235" t="n"/>
      <c r="B13" s="235" t="n"/>
      <c r="C13" s="399" t="n"/>
      <c r="D13" s="119" t="n"/>
      <c r="E13" s="405" t="n"/>
      <c r="F13" s="405" t="n"/>
      <c r="G13" s="405" t="n"/>
      <c r="H13" s="405" t="n"/>
      <c r="I13" s="399" t="n"/>
      <c r="J13" s="422" t="n"/>
      <c r="K13" s="399" t="n"/>
      <c r="L13" s="235" t="n"/>
      <c r="M13" s="399" t="n"/>
    </row>
    <row r="14" ht="41.25" customHeight="1">
      <c r="A14" s="235" t="n"/>
      <c r="B14" s="235" t="n"/>
      <c r="C14" s="399" t="n"/>
      <c r="D14" s="119" t="n"/>
      <c r="E14" s="405" t="n"/>
      <c r="F14" s="405" t="n"/>
      <c r="G14" s="405" t="n"/>
      <c r="H14" s="405" t="n"/>
      <c r="I14" s="399" t="n"/>
      <c r="J14" s="422" t="n"/>
      <c r="K14" s="399" t="n"/>
      <c r="L14" s="235" t="n"/>
      <c r="M14" s="399" t="n"/>
    </row>
  </sheetData>
  <mergeCells count="42">
    <mergeCell ref="L2:M2"/>
    <mergeCell ref="D11:I11"/>
    <mergeCell ref="L7:M7"/>
    <mergeCell ref="B7:C7"/>
    <mergeCell ref="D13:I13"/>
    <mergeCell ref="E1:J3"/>
    <mergeCell ref="J14:K14"/>
    <mergeCell ref="J10:K10"/>
    <mergeCell ref="J13:K13"/>
    <mergeCell ref="L13:M13"/>
    <mergeCell ref="D7:I7"/>
    <mergeCell ref="B12:C12"/>
    <mergeCell ref="J9:K9"/>
    <mergeCell ref="L3:M3"/>
    <mergeCell ref="L12:M12"/>
    <mergeCell ref="B11:C11"/>
    <mergeCell ref="J6:K6"/>
    <mergeCell ref="D9:I9"/>
    <mergeCell ref="B14:C14"/>
    <mergeCell ref="D12:I12"/>
    <mergeCell ref="L8:M8"/>
    <mergeCell ref="B8:C8"/>
    <mergeCell ref="L14:M14"/>
    <mergeCell ref="D8:I8"/>
    <mergeCell ref="B13:C13"/>
    <mergeCell ref="J11:K11"/>
    <mergeCell ref="A1:D3"/>
    <mergeCell ref="D14:I14"/>
    <mergeCell ref="L10:M10"/>
    <mergeCell ref="J7:K7"/>
    <mergeCell ref="B10:C10"/>
    <mergeCell ref="L1:M1"/>
    <mergeCell ref="A4:M5"/>
    <mergeCell ref="B9:C9"/>
    <mergeCell ref="L9:M9"/>
    <mergeCell ref="B6:C6"/>
    <mergeCell ref="D10:I10"/>
    <mergeCell ref="J12:K12"/>
    <mergeCell ref="L6:M6"/>
    <mergeCell ref="L11:M11"/>
    <mergeCell ref="D6:I6"/>
    <mergeCell ref="J8:K8"/>
  </mergeCells>
  <pageMargins left="0.984251968503937" right="0.984251968503937" top="0.984251968503937" bottom="0.984251968503937" header="0.5118110236220472" footer="0.5118110236220472"/>
  <pageSetup orientation="landscape" paperSize="9" scale="92"/>
</worksheet>
</file>

<file path=xl/worksheets/sheet10.xml><?xml version="1.0" encoding="utf-8"?>
<worksheet xmlns="http://schemas.openxmlformats.org/spreadsheetml/2006/main">
  <sheetPr codeName="Sheet12">
    <outlinePr summaryBelow="1" summaryRight="1"/>
    <pageSetUpPr fitToPage="1"/>
  </sheetPr>
  <dimension ref="A1:N45"/>
  <sheetViews>
    <sheetView zoomScale="75" workbookViewId="0">
      <selection activeCell="F10" sqref="F10"/>
    </sheetView>
  </sheetViews>
  <sheetFormatPr baseColWidth="8" defaultColWidth="9.1796875" defaultRowHeight="14"/>
  <cols>
    <col width="14.7265625" customWidth="1" style="39" min="1" max="13"/>
    <col width="35.7265625" customWidth="1" style="39" min="14" max="14"/>
    <col width="9.1796875" customWidth="1" style="39" min="15" max="16384"/>
  </cols>
  <sheetData>
    <row r="1" ht="20.15" customFormat="1" customHeight="1" s="59">
      <c r="A1" s="47" t="inlineStr">
        <is>
          <t>Design FMEA</t>
        </is>
      </c>
      <c r="B1" s="47" t="n"/>
      <c r="C1" s="47" t="n"/>
      <c r="D1" s="47" t="n"/>
      <c r="E1" s="48" t="n"/>
      <c r="F1" s="49" t="n"/>
      <c r="G1" s="50" t="n"/>
      <c r="H1" s="50" t="n"/>
      <c r="I1" s="48" t="n"/>
      <c r="J1" s="48" t="n"/>
      <c r="K1" s="48" t="n"/>
      <c r="L1" s="48" t="n"/>
      <c r="M1" s="48" t="n"/>
      <c r="N1" s="51" t="n"/>
    </row>
    <row r="2" ht="32.25" customFormat="1" customHeight="1" s="59">
      <c r="A2" s="52" t="inlineStr">
        <is>
          <t>Potential Failure Mode and Effects Analysis</t>
        </is>
      </c>
      <c r="B2" s="52" t="n"/>
      <c r="C2" s="52" t="n"/>
      <c r="D2" s="52" t="n"/>
      <c r="E2" s="53" t="n"/>
      <c r="F2" s="49" t="n"/>
      <c r="G2" s="54" t="n"/>
      <c r="H2" s="54" t="n"/>
      <c r="I2" s="53" t="n"/>
      <c r="J2" s="53" t="n"/>
      <c r="K2" s="53" t="n"/>
      <c r="L2" s="53" t="n"/>
      <c r="M2" s="53" t="n"/>
      <c r="N2" s="55" t="n"/>
    </row>
    <row r="3" ht="23.25" customFormat="1" customHeight="1" s="59">
      <c r="C3" s="423" t="inlineStr">
        <is>
          <t>Description:</t>
        </is>
      </c>
      <c r="D3" s="33" t="n"/>
      <c r="E3" s="34" t="inlineStr"/>
      <c r="F3" s="35" t="n"/>
      <c r="G3" s="29" t="n"/>
      <c r="H3" s="29" t="n"/>
      <c r="I3" s="423" t="inlineStr">
        <is>
          <t xml:space="preserve">FMEA Number: </t>
        </is>
      </c>
      <c r="J3" s="61" t="inlineStr"/>
      <c r="K3" s="61" t="n"/>
      <c r="L3" s="61" t="n"/>
      <c r="M3" s="40" t="n"/>
      <c r="N3" s="60" t="n"/>
    </row>
    <row r="4" customFormat="1" s="59">
      <c r="C4" s="423" t="inlineStr">
        <is>
          <t>Model Year(s):</t>
        </is>
      </c>
      <c r="D4" s="56" t="n"/>
      <c r="E4" s="57" t="inlineStr"/>
      <c r="F4" s="58" t="n"/>
      <c r="G4" s="29" t="n"/>
      <c r="H4" s="29" t="n"/>
      <c r="I4" s="31" t="n"/>
      <c r="J4" s="29" t="n"/>
      <c r="K4" s="29" t="n"/>
      <c r="L4" s="29" t="n"/>
      <c r="M4" s="29" t="n"/>
      <c r="N4" s="60" t="n"/>
    </row>
    <row r="5" customFormat="1" s="59">
      <c r="C5" s="423" t="inlineStr">
        <is>
          <t>Vehicle:</t>
        </is>
      </c>
      <c r="D5" s="56" t="n"/>
      <c r="E5" s="57" t="inlineStr"/>
      <c r="F5" s="58" t="n"/>
      <c r="G5" s="29" t="n"/>
      <c r="H5" s="29" t="n"/>
      <c r="I5" s="29" t="n"/>
      <c r="J5" s="29" t="n"/>
      <c r="K5" s="29" t="n"/>
      <c r="L5" s="29" t="n"/>
      <c r="M5" s="29" t="n"/>
      <c r="N5" s="60" t="n"/>
    </row>
    <row r="6" customFormat="1" s="59">
      <c r="A6" s="32" t="n"/>
      <c r="B6" s="32" t="n"/>
      <c r="C6" s="33" t="n"/>
      <c r="D6" s="33" t="n"/>
      <c r="E6" s="34" t="n"/>
      <c r="F6" s="35" t="n"/>
      <c r="G6" s="36" t="n"/>
      <c r="H6" s="36" t="n"/>
      <c r="I6" s="36" t="n"/>
      <c r="J6" s="36" t="n"/>
      <c r="K6" s="36" t="n"/>
      <c r="L6" s="36" t="n"/>
      <c r="M6" s="36" t="n"/>
      <c r="N6" s="37" t="n"/>
    </row>
    <row r="7" ht="56.25" customFormat="1" customHeight="1" s="38">
      <c r="A7" s="43" t="inlineStr">
        <is>
          <t>VPPS
Level 1</t>
        </is>
      </c>
      <c r="B7" s="43" t="inlineStr">
        <is>
          <t>VPPS 
Level 2</t>
        </is>
      </c>
      <c r="C7" s="43" t="inlineStr">
        <is>
          <t>VPPS Level 3</t>
        </is>
      </c>
      <c r="D7" s="43" t="inlineStr">
        <is>
          <t>VPPS
Level 4</t>
        </is>
      </c>
      <c r="E7" s="43" t="inlineStr">
        <is>
          <t>VPPS
Level 5</t>
        </is>
      </c>
      <c r="F7" s="43" t="inlineStr">
        <is>
          <t>VPPS
Level 6</t>
        </is>
      </c>
      <c r="G7" s="43" t="inlineStr">
        <is>
          <t>VPPS 
Level 7</t>
        </is>
      </c>
      <c r="H7" s="43" t="inlineStr">
        <is>
          <t>VPPS 
Level 8</t>
        </is>
      </c>
      <c r="I7" s="43" t="inlineStr">
        <is>
          <t>VPPS 
Level 9</t>
        </is>
      </c>
      <c r="J7" s="43" t="inlineStr">
        <is>
          <t>Interfacing Component /Feature</t>
        </is>
      </c>
      <c r="K7" s="42" t="inlineStr">
        <is>
          <t>Component Designation</t>
        </is>
      </c>
      <c r="L7" s="41" t="inlineStr">
        <is>
          <t>Interface Designation</t>
        </is>
      </c>
      <c r="M7" s="43" t="inlineStr">
        <is>
          <t>Interface Type</t>
        </is>
      </c>
      <c r="N7" s="41" t="inlineStr">
        <is>
          <t>Change and Reason for Change</t>
        </is>
      </c>
    </row>
    <row r="8" ht="40" customHeight="1">
      <c r="A8" s="44" t="inlineStr">
        <is>
          <t>Powertrain</t>
        </is>
      </c>
      <c r="B8" s="44" t="n"/>
      <c r="C8" s="44" t="n"/>
      <c r="D8" s="44" t="n"/>
      <c r="E8" s="44" t="n"/>
      <c r="F8" s="45" t="n"/>
      <c r="G8" s="43" t="n"/>
      <c r="H8" s="43" t="n"/>
      <c r="I8" s="45" t="n"/>
      <c r="J8" s="45" t="n"/>
      <c r="K8" s="45" t="n"/>
      <c r="L8" s="45" t="n"/>
      <c r="M8" s="45" t="n"/>
      <c r="N8" s="45" t="n"/>
    </row>
    <row r="9" ht="48.75" customHeight="1">
      <c r="A9" s="44" t="n"/>
      <c r="B9" s="44" t="inlineStr">
        <is>
          <t>Power Generation</t>
        </is>
      </c>
      <c r="C9" s="44" t="n"/>
      <c r="D9" s="44" t="n"/>
      <c r="E9" s="44" t="n"/>
      <c r="F9" s="45" t="n"/>
      <c r="G9" s="43" t="n"/>
      <c r="H9" s="43" t="n"/>
      <c r="I9" s="45" t="n"/>
      <c r="J9" s="45" t="n"/>
      <c r="K9" s="45" t="n"/>
      <c r="L9" s="45" t="n"/>
      <c r="M9" s="45" t="n"/>
      <c r="N9" s="45" t="n"/>
    </row>
    <row r="10" ht="40" customHeight="1">
      <c r="A10" s="44" t="n"/>
      <c r="B10" s="44" t="n"/>
      <c r="C10" s="44" t="inlineStr">
        <is>
          <t>Engine</t>
        </is>
      </c>
      <c r="D10" s="44" t="n"/>
      <c r="E10" s="44" t="n"/>
      <c r="F10" s="45" t="n"/>
      <c r="G10" s="43" t="n"/>
      <c r="H10" s="43" t="n"/>
      <c r="I10" s="45" t="n"/>
      <c r="J10" s="45" t="n"/>
      <c r="K10" s="45" t="n"/>
      <c r="L10" s="45" t="n"/>
      <c r="M10" s="45" t="n"/>
      <c r="N10" s="45" t="n"/>
    </row>
    <row r="11" ht="49.5" customHeight="1">
      <c r="A11" s="44" t="n"/>
      <c r="B11" s="44" t="n"/>
      <c r="C11" s="44" t="n"/>
      <c r="D11" s="44" t="inlineStr">
        <is>
          <t>Accessory Drive System</t>
        </is>
      </c>
      <c r="E11" s="44" t="n"/>
      <c r="F11" s="45" t="n"/>
      <c r="G11" s="43" t="n"/>
      <c r="H11" s="43" t="n"/>
      <c r="I11" s="45" t="n"/>
      <c r="J11" s="45" t="n"/>
      <c r="K11" s="45" t="n"/>
      <c r="L11" s="45" t="n"/>
      <c r="M11" s="45" t="n"/>
      <c r="N11" s="45" t="n"/>
    </row>
    <row r="12" ht="42" customHeight="1">
      <c r="A12" s="44" t="n"/>
      <c r="B12" s="44" t="n"/>
      <c r="C12" s="44" t="n"/>
      <c r="D12" s="44" t="n"/>
      <c r="E12" s="44" t="inlineStr">
        <is>
          <t>A
Tensioner</t>
        </is>
      </c>
      <c r="F12" s="45" t="n"/>
      <c r="G12" s="43" t="n"/>
      <c r="H12" s="43" t="n"/>
      <c r="I12" s="45" t="n"/>
      <c r="J12" s="44" t="inlineStr">
        <is>
          <t>B
Belt</t>
        </is>
      </c>
      <c r="K12" s="45" t="n"/>
      <c r="L12" s="45" t="n"/>
      <c r="M12" s="45" t="inlineStr">
        <is>
          <t>Mate</t>
        </is>
      </c>
      <c r="N12" s="45" t="n"/>
    </row>
    <row r="13" ht="42.75" customHeight="1">
      <c r="A13" s="44" t="n"/>
      <c r="B13" s="44" t="n"/>
      <c r="C13" s="44" t="n"/>
      <c r="D13" s="44" t="n"/>
      <c r="E13" s="44" t="n"/>
      <c r="F13" s="45" t="n"/>
      <c r="G13" s="43" t="n"/>
      <c r="H13" s="43" t="n"/>
      <c r="I13" s="45" t="n"/>
      <c r="J13" s="44" t="inlineStr">
        <is>
          <t>G
Tensioner Bracket</t>
        </is>
      </c>
      <c r="K13" s="45" t="n"/>
      <c r="L13" s="45" t="n"/>
      <c r="M13" s="45" t="inlineStr">
        <is>
          <t>Fastening</t>
        </is>
      </c>
      <c r="N13" s="45" t="n"/>
    </row>
    <row r="14" ht="44.25" customHeight="1">
      <c r="A14" s="44" t="n"/>
      <c r="B14" s="44" t="n"/>
      <c r="C14" s="44" t="n"/>
      <c r="D14" s="44" t="n"/>
      <c r="E14" s="44" t="n"/>
      <c r="F14" s="45" t="n"/>
      <c r="G14" s="43" t="n"/>
      <c r="H14" s="43" t="n"/>
      <c r="I14" s="45" t="n"/>
      <c r="J14" s="44" t="inlineStr">
        <is>
          <t>A3
Belt Install Tool</t>
        </is>
      </c>
      <c r="K14" s="45" t="n"/>
      <c r="L14" s="45" t="n"/>
      <c r="M14" s="45" t="inlineStr">
        <is>
          <t>Clearance</t>
        </is>
      </c>
      <c r="N14" s="45" t="n"/>
    </row>
    <row r="15" ht="55.5" customHeight="1">
      <c r="A15" s="45" t="n"/>
      <c r="B15" s="45" t="n"/>
      <c r="C15" s="45" t="n"/>
      <c r="D15" s="45" t="n"/>
      <c r="E15" s="44" t="inlineStr">
        <is>
          <t xml:space="preserve">B
Belt </t>
        </is>
      </c>
      <c r="F15" s="45" t="n"/>
      <c r="G15" s="44" t="n"/>
      <c r="H15" s="44" t="n"/>
      <c r="I15" s="45" t="n"/>
      <c r="J15" s="44" t="inlineStr">
        <is>
          <t>A
Tensioner</t>
        </is>
      </c>
      <c r="K15" s="45" t="n"/>
      <c r="L15" s="45" t="n"/>
      <c r="M15" s="45" t="inlineStr">
        <is>
          <t>Mate</t>
        </is>
      </c>
      <c r="N15" s="45" t="n"/>
    </row>
    <row r="16" ht="55.5" customHeight="1">
      <c r="A16" s="45" t="n"/>
      <c r="B16" s="45" t="n"/>
      <c r="C16" s="45" t="n"/>
      <c r="D16" s="45" t="n"/>
      <c r="E16" s="44" t="n"/>
      <c r="F16" s="45" t="n"/>
      <c r="G16" s="44" t="n"/>
      <c r="H16" s="44" t="n"/>
      <c r="I16" s="45" t="n"/>
      <c r="J16" s="44" t="inlineStr">
        <is>
          <t>B2
Front Cover</t>
        </is>
      </c>
      <c r="K16" s="45" t="n"/>
      <c r="L16" s="45" t="n"/>
      <c r="M16" s="45" t="inlineStr">
        <is>
          <t>Clearance</t>
        </is>
      </c>
      <c r="N16" s="45" t="n"/>
    </row>
    <row r="17" ht="55.5" customHeight="1">
      <c r="A17" s="45" t="n"/>
      <c r="B17" s="45" t="n"/>
      <c r="C17" s="45" t="n"/>
      <c r="D17" s="45" t="n"/>
      <c r="E17" s="44" t="n"/>
      <c r="F17" s="45" t="n"/>
      <c r="G17" s="44" t="n"/>
      <c r="H17" s="44" t="n"/>
      <c r="I17" s="45" t="n"/>
      <c r="J17" s="44" t="inlineStr">
        <is>
          <t>B3
RH Engine Compartment Components</t>
        </is>
      </c>
      <c r="K17" s="45" t="n"/>
      <c r="L17" s="45" t="n"/>
      <c r="M17" s="45" t="inlineStr">
        <is>
          <t>Clearance</t>
        </is>
      </c>
      <c r="N17" s="45" t="n"/>
    </row>
    <row r="18" ht="55.5" customHeight="1">
      <c r="A18" s="45" t="n"/>
      <c r="B18" s="45" t="n"/>
      <c r="C18" s="45" t="n"/>
      <c r="D18" s="45" t="n"/>
      <c r="E18" s="44" t="n"/>
      <c r="F18" s="45" t="n"/>
      <c r="G18" s="44" t="n"/>
      <c r="H18" s="44" t="n"/>
      <c r="I18" s="45" t="n"/>
      <c r="J18" s="44" t="inlineStr">
        <is>
          <t>C
Idlers</t>
        </is>
      </c>
      <c r="K18" s="45" t="n"/>
      <c r="L18" s="45" t="n"/>
      <c r="M18" s="45" t="inlineStr">
        <is>
          <t>Mate</t>
        </is>
      </c>
      <c r="N18" s="45" t="n"/>
    </row>
    <row r="19" ht="55.5" customHeight="1">
      <c r="A19" s="45" t="n"/>
      <c r="B19" s="45" t="n"/>
      <c r="C19" s="45" t="n"/>
      <c r="D19" s="45" t="n"/>
      <c r="E19" s="44" t="n"/>
      <c r="F19" s="45" t="n"/>
      <c r="G19" s="44" t="n"/>
      <c r="H19" s="44" t="n"/>
      <c r="I19" s="45" t="n"/>
      <c r="J19" s="44" t="inlineStr">
        <is>
          <t>E
Power Steering Pump Pulley</t>
        </is>
      </c>
      <c r="K19" s="45" t="n"/>
      <c r="L19" s="45" t="n"/>
      <c r="M19" s="45" t="inlineStr">
        <is>
          <t>Mate</t>
        </is>
      </c>
      <c r="N19" s="45" t="n"/>
    </row>
    <row r="20" ht="55.5" customHeight="1">
      <c r="A20" s="45" t="n"/>
      <c r="B20" s="45" t="n"/>
      <c r="C20" s="45" t="n"/>
      <c r="D20" s="45" t="n"/>
      <c r="E20" s="44" t="n"/>
      <c r="F20" s="45" t="n"/>
      <c r="G20" s="44" t="n"/>
      <c r="H20" s="44" t="n"/>
      <c r="I20" s="45" t="n"/>
      <c r="J20" s="44" t="inlineStr">
        <is>
          <t>D
Water Pump Pulley</t>
        </is>
      </c>
      <c r="K20" s="45" t="n"/>
      <c r="L20" s="45" t="n"/>
      <c r="M20" s="45" t="inlineStr">
        <is>
          <t>Mate</t>
        </is>
      </c>
      <c r="N20" s="45" t="n"/>
    </row>
    <row r="21" ht="55.5" customHeight="1">
      <c r="A21" s="45" t="n"/>
      <c r="B21" s="45" t="n"/>
      <c r="C21" s="45" t="n"/>
      <c r="D21" s="45" t="n"/>
      <c r="E21" s="44" t="n"/>
      <c r="F21" s="45" t="n"/>
      <c r="G21" s="44" t="n"/>
      <c r="H21" s="44" t="n"/>
      <c r="I21" s="45" t="n"/>
      <c r="J21" s="44" t="inlineStr">
        <is>
          <t>B4
A/C Compressor Pump Pulley</t>
        </is>
      </c>
      <c r="K21" s="45" t="n"/>
      <c r="L21" s="45" t="n"/>
      <c r="M21" s="45" t="inlineStr">
        <is>
          <t>Mate</t>
        </is>
      </c>
      <c r="N21" s="45" t="n"/>
    </row>
    <row r="22" ht="55.5" customHeight="1">
      <c r="A22" s="45" t="n"/>
      <c r="B22" s="45" t="n"/>
      <c r="C22" s="45" t="n"/>
      <c r="D22" s="45" t="n"/>
      <c r="E22" s="44" t="n"/>
      <c r="F22" s="45" t="n"/>
      <c r="G22" s="44" t="n"/>
      <c r="H22" s="44" t="n"/>
      <c r="I22" s="45" t="n"/>
      <c r="J22" s="44" t="inlineStr">
        <is>
          <t>B5
Generator Pulley</t>
        </is>
      </c>
      <c r="K22" s="45" t="n"/>
      <c r="L22" s="45" t="n"/>
      <c r="M22" s="45" t="inlineStr">
        <is>
          <t>Mate</t>
        </is>
      </c>
      <c r="N22" s="45" t="n"/>
    </row>
    <row r="23" ht="55.5" customHeight="1">
      <c r="A23" s="45" t="n"/>
      <c r="B23" s="45" t="n"/>
      <c r="C23" s="45" t="n"/>
      <c r="D23" s="45" t="n"/>
      <c r="E23" s="44" t="n"/>
      <c r="F23" s="45" t="n"/>
      <c r="G23" s="44" t="n"/>
      <c r="H23" s="44" t="n"/>
      <c r="I23" s="45" t="n"/>
      <c r="J23" s="44" t="inlineStr">
        <is>
          <t>B6
Crankshaft Pulley</t>
        </is>
      </c>
      <c r="K23" s="45" t="n"/>
      <c r="L23" s="45" t="n"/>
      <c r="M23" s="45" t="inlineStr">
        <is>
          <t>Mate</t>
        </is>
      </c>
      <c r="N23" s="45" t="n"/>
    </row>
    <row r="24" ht="64.5" customHeight="1">
      <c r="A24" s="45" t="n"/>
      <c r="B24" s="45" t="n"/>
      <c r="C24" s="45" t="n"/>
      <c r="D24" s="45" t="n"/>
      <c r="E24" s="44" t="inlineStr">
        <is>
          <t>C
Idlers</t>
        </is>
      </c>
      <c r="F24" s="45" t="n"/>
      <c r="G24" s="46" t="n"/>
      <c r="H24" s="46" t="n"/>
      <c r="I24" s="44" t="n"/>
      <c r="J24" s="44" t="inlineStr">
        <is>
          <t xml:space="preserve">B
Belt </t>
        </is>
      </c>
      <c r="K24" s="44" t="n"/>
      <c r="L24" s="44" t="n"/>
      <c r="M24" s="45" t="inlineStr">
        <is>
          <t>Mate</t>
        </is>
      </c>
      <c r="N24" s="45" t="n"/>
    </row>
    <row r="25" ht="64.5" customHeight="1">
      <c r="A25" s="45" t="n"/>
      <c r="B25" s="45" t="n"/>
      <c r="C25" s="45" t="n"/>
      <c r="D25" s="45" t="n"/>
      <c r="E25" s="44" t="n"/>
      <c r="F25" s="45" t="n"/>
      <c r="G25" s="46" t="n"/>
      <c r="H25" s="46" t="n"/>
      <c r="I25" s="44" t="n"/>
      <c r="J25" s="44" t="inlineStr">
        <is>
          <t>C1
Water Cross-Over Pipe</t>
        </is>
      </c>
      <c r="K25" s="44" t="n"/>
      <c r="L25" s="44" t="n"/>
      <c r="M25" s="45" t="inlineStr">
        <is>
          <t>Fastening</t>
        </is>
      </c>
      <c r="N25" s="45" t="n"/>
    </row>
    <row r="26" ht="64.5" customHeight="1">
      <c r="A26" s="45" t="n"/>
      <c r="B26" s="45" t="n"/>
      <c r="C26" s="45" t="n"/>
      <c r="D26" s="45" t="n"/>
      <c r="E26" s="44" t="n"/>
      <c r="F26" s="45" t="n"/>
      <c r="G26" s="46" t="n"/>
      <c r="H26" s="46" t="n"/>
      <c r="I26" s="44" t="n"/>
      <c r="J26" s="44" t="inlineStr">
        <is>
          <t>G
Tensioner Bracket</t>
        </is>
      </c>
      <c r="K26" s="45" t="n"/>
      <c r="L26" s="45" t="n"/>
      <c r="M26" s="45" t="inlineStr">
        <is>
          <t>Fastening</t>
        </is>
      </c>
      <c r="N26" s="45" t="n"/>
    </row>
    <row r="27" ht="64.5" customHeight="1">
      <c r="A27" s="45" t="n"/>
      <c r="B27" s="45" t="n"/>
      <c r="C27" s="45" t="n"/>
      <c r="D27" s="45" t="n"/>
      <c r="E27" s="44" t="n"/>
      <c r="F27" s="45" t="n"/>
      <c r="G27" s="46" t="n"/>
      <c r="H27" s="46" t="n"/>
      <c r="I27" s="44" t="n"/>
      <c r="J27" s="44" t="inlineStr">
        <is>
          <t>B2
Front Cover</t>
        </is>
      </c>
      <c r="K27" s="45" t="n"/>
      <c r="L27" s="45" t="n"/>
      <c r="M27" s="45" t="inlineStr">
        <is>
          <t>Clearance</t>
        </is>
      </c>
      <c r="N27" s="45" t="n"/>
    </row>
    <row r="28" ht="55.5" customHeight="1">
      <c r="A28" s="45" t="n"/>
      <c r="B28" s="45" t="n"/>
      <c r="C28" s="45" t="n"/>
      <c r="D28" s="45" t="n"/>
      <c r="E28" s="44" t="inlineStr">
        <is>
          <t>D
 Water Pump Pulley</t>
        </is>
      </c>
      <c r="F28" s="45" t="n"/>
      <c r="G28" s="46" t="n"/>
      <c r="H28" s="46" t="n"/>
      <c r="I28" s="45" t="n"/>
      <c r="J28" s="44" t="inlineStr">
        <is>
          <t xml:space="preserve">B  Belt </t>
        </is>
      </c>
      <c r="K28" s="44" t="n"/>
      <c r="L28" s="44" t="n"/>
      <c r="M28" s="45" t="inlineStr">
        <is>
          <t>Mate</t>
        </is>
      </c>
      <c r="N28" s="45" t="n"/>
    </row>
    <row r="29" ht="55.5" customHeight="1">
      <c r="A29" s="45" t="n"/>
      <c r="B29" s="45" t="n"/>
      <c r="C29" s="45" t="n"/>
      <c r="D29" s="45" t="n"/>
      <c r="E29" s="44" t="n"/>
      <c r="F29" s="45" t="n"/>
      <c r="G29" s="46" t="n"/>
      <c r="H29" s="46" t="n"/>
      <c r="I29" s="45" t="n"/>
      <c r="J29" s="44" t="inlineStr">
        <is>
          <t>D1
Water Pump Hub</t>
        </is>
      </c>
      <c r="K29" s="44" t="n"/>
      <c r="L29" s="44" t="n"/>
      <c r="M29" s="45" t="inlineStr">
        <is>
          <t>Fastening</t>
        </is>
      </c>
      <c r="N29" s="45" t="n"/>
    </row>
    <row r="30" ht="55.5" customHeight="1">
      <c r="A30" s="45" t="n"/>
      <c r="B30" s="45" t="n"/>
      <c r="C30" s="45" t="n"/>
      <c r="D30" s="45" t="n"/>
      <c r="E30" s="44" t="n"/>
      <c r="F30" s="45" t="n"/>
      <c r="G30" s="46" t="n"/>
      <c r="H30" s="46" t="n"/>
      <c r="I30" s="45" t="n"/>
      <c r="J30" s="44" t="inlineStr">
        <is>
          <t>B2
Front Cover</t>
        </is>
      </c>
      <c r="K30" s="45" t="n"/>
      <c r="L30" s="45" t="n"/>
      <c r="M30" s="45" t="inlineStr">
        <is>
          <t>Clearance</t>
        </is>
      </c>
      <c r="N30" s="45" t="n"/>
    </row>
    <row r="31" ht="55.5" customHeight="1">
      <c r="A31" s="45" t="n"/>
      <c r="B31" s="45" t="n"/>
      <c r="C31" s="45" t="n"/>
      <c r="D31" s="45" t="n"/>
      <c r="E31" s="44" t="n"/>
      <c r="F31" s="45" t="n"/>
      <c r="G31" s="46" t="n"/>
      <c r="H31" s="46" t="n"/>
      <c r="I31" s="45" t="n"/>
      <c r="J31" s="44" t="inlineStr">
        <is>
          <t>D2
Installation Tool</t>
        </is>
      </c>
      <c r="K31" s="44" t="n"/>
      <c r="L31" s="44" t="n"/>
      <c r="M31" s="45" t="inlineStr">
        <is>
          <t>Clearance</t>
        </is>
      </c>
      <c r="N31" s="45" t="n"/>
    </row>
    <row r="32" ht="56" customHeight="1">
      <c r="A32" s="45" t="n"/>
      <c r="B32" s="45" t="n"/>
      <c r="C32" s="45" t="n"/>
      <c r="D32" s="45" t="n"/>
      <c r="E32" s="44" t="inlineStr">
        <is>
          <t>E
Power Steering Pump Pulley</t>
        </is>
      </c>
      <c r="F32" s="45" t="n"/>
      <c r="G32" s="46" t="n"/>
      <c r="H32" s="46" t="n"/>
      <c r="I32" s="44" t="n"/>
      <c r="J32" s="44" t="inlineStr">
        <is>
          <t xml:space="preserve">B
Belt </t>
        </is>
      </c>
      <c r="K32" s="44" t="n"/>
      <c r="L32" s="44" t="n"/>
      <c r="M32" s="45" t="inlineStr">
        <is>
          <t>Mate</t>
        </is>
      </c>
      <c r="N32" s="45" t="n"/>
    </row>
    <row r="33" ht="66.75" customHeight="1">
      <c r="A33" s="45" t="n"/>
      <c r="B33" s="45" t="n"/>
      <c r="C33" s="45" t="n"/>
      <c r="D33" s="45" t="n"/>
      <c r="E33" s="44" t="n"/>
      <c r="F33" s="45" t="n"/>
      <c r="G33" s="46" t="n"/>
      <c r="H33" s="46" t="n"/>
      <c r="I33" s="44" t="n"/>
      <c r="J33" s="44" t="inlineStr">
        <is>
          <t xml:space="preserve">E1
Power Steering Shaft </t>
        </is>
      </c>
      <c r="K33" s="44" t="n"/>
      <c r="L33" s="44" t="n"/>
      <c r="M33" s="45" t="inlineStr">
        <is>
          <t>Press-Fit</t>
        </is>
      </c>
      <c r="N33" s="45" t="n"/>
    </row>
    <row r="34" ht="66.75" customHeight="1">
      <c r="A34" s="45" t="n"/>
      <c r="B34" s="45" t="n"/>
      <c r="C34" s="45" t="n"/>
      <c r="D34" s="45" t="n"/>
      <c r="E34" s="44" t="n"/>
      <c r="F34" s="45" t="n"/>
      <c r="G34" s="46" t="n"/>
      <c r="H34" s="46" t="n"/>
      <c r="I34" s="44" t="n"/>
      <c r="J34" s="44" t="inlineStr">
        <is>
          <t xml:space="preserve">E2  Power Steering  Pump </t>
        </is>
      </c>
      <c r="K34" s="44" t="n"/>
      <c r="L34" s="44" t="n"/>
      <c r="M34" s="45" t="inlineStr">
        <is>
          <t>Clearance</t>
        </is>
      </c>
      <c r="N34" s="45" t="n"/>
    </row>
    <row r="35" ht="66.75" customHeight="1">
      <c r="A35" s="45" t="n"/>
      <c r="B35" s="45" t="n"/>
      <c r="C35" s="45" t="n"/>
      <c r="D35" s="45" t="n"/>
      <c r="E35" s="44" t="n"/>
      <c r="F35" s="45" t="n"/>
      <c r="G35" s="46" t="n"/>
      <c r="H35" s="46" t="n"/>
      <c r="I35" s="44" t="n"/>
      <c r="J35" s="44" t="inlineStr">
        <is>
          <t>D2
Installation Tool</t>
        </is>
      </c>
      <c r="K35" s="44" t="n"/>
      <c r="L35" s="44" t="n"/>
      <c r="M35" s="45" t="inlineStr">
        <is>
          <t>Clearance</t>
        </is>
      </c>
      <c r="N35" s="45" t="n"/>
    </row>
    <row r="36" ht="55.5" customHeight="1">
      <c r="A36" s="45" t="n"/>
      <c r="B36" s="45" t="n"/>
      <c r="C36" s="45" t="n"/>
      <c r="D36" s="45" t="n"/>
      <c r="E36" s="44" t="inlineStr">
        <is>
          <t>F
Generator Bracket</t>
        </is>
      </c>
      <c r="F36" s="45" t="n"/>
      <c r="G36" s="46" t="n"/>
      <c r="H36" s="46" t="n"/>
      <c r="I36" s="45" t="n"/>
      <c r="J36" s="44" t="inlineStr">
        <is>
          <t>F1  LH Cylinder Head</t>
        </is>
      </c>
      <c r="K36" s="44" t="n"/>
      <c r="L36" s="44" t="n"/>
      <c r="M36" s="45" t="inlineStr">
        <is>
          <t>Fastening</t>
        </is>
      </c>
      <c r="N36" s="45" t="n"/>
    </row>
    <row r="37" ht="55.5" customHeight="1">
      <c r="A37" s="45" t="n"/>
      <c r="B37" s="45" t="n"/>
      <c r="C37" s="45" t="n"/>
      <c r="D37" s="45" t="n"/>
      <c r="E37" s="44" t="n"/>
      <c r="F37" s="45" t="n"/>
      <c r="G37" s="46" t="n"/>
      <c r="H37" s="46" t="n"/>
      <c r="I37" s="45" t="n"/>
      <c r="J37" s="44" t="inlineStr">
        <is>
          <t>F2
Intake Manifold</t>
        </is>
      </c>
      <c r="K37" s="44" t="n"/>
      <c r="L37" s="44" t="n"/>
      <c r="M37" s="45" t="inlineStr">
        <is>
          <t>Fastening</t>
        </is>
      </c>
      <c r="N37" s="45" t="n"/>
    </row>
    <row r="38" ht="55.5" customHeight="1">
      <c r="A38" s="45" t="n"/>
      <c r="B38" s="45" t="n"/>
      <c r="C38" s="45" t="n"/>
      <c r="D38" s="45" t="n"/>
      <c r="E38" s="44" t="n"/>
      <c r="F38" s="45" t="n"/>
      <c r="G38" s="46" t="n"/>
      <c r="H38" s="46" t="n"/>
      <c r="I38" s="45" t="n"/>
      <c r="J38" s="44" t="inlineStr">
        <is>
          <t xml:space="preserve">F3
Generator </t>
        </is>
      </c>
      <c r="K38" s="44" t="n"/>
      <c r="L38" s="44" t="n"/>
      <c r="M38" s="45" t="inlineStr">
        <is>
          <t>Fastening</t>
        </is>
      </c>
      <c r="N38" s="45" t="n"/>
    </row>
    <row r="39" ht="55.5" customHeight="1">
      <c r="A39" s="45" t="n"/>
      <c r="B39" s="45" t="n"/>
      <c r="C39" s="45" t="n"/>
      <c r="D39" s="45" t="n"/>
      <c r="E39" s="44" t="n"/>
      <c r="F39" s="45" t="n"/>
      <c r="G39" s="46" t="n"/>
      <c r="H39" s="46" t="n"/>
      <c r="I39" s="45" t="n"/>
      <c r="J39" s="44" t="inlineStr">
        <is>
          <t>F4
Fuel Rail</t>
        </is>
      </c>
      <c r="K39" s="44" t="n"/>
      <c r="L39" s="44" t="n"/>
      <c r="M39" s="45" t="inlineStr">
        <is>
          <t>Clearance</t>
        </is>
      </c>
      <c r="N39" s="45" t="n"/>
    </row>
    <row r="40" ht="55.5" customHeight="1">
      <c r="A40" s="45" t="n"/>
      <c r="B40" s="45" t="n"/>
      <c r="C40" s="45" t="n"/>
      <c r="D40" s="45" t="n"/>
      <c r="E40" s="44" t="n"/>
      <c r="F40" s="45" t="n"/>
      <c r="G40" s="46" t="n"/>
      <c r="H40" s="46" t="n"/>
      <c r="I40" s="45" t="n"/>
      <c r="J40" s="44" t="inlineStr">
        <is>
          <t>F5
LH Cam Cover</t>
        </is>
      </c>
      <c r="K40" s="44" t="n"/>
      <c r="L40" s="44" t="n"/>
      <c r="M40" s="45" t="inlineStr">
        <is>
          <t>Clearance</t>
        </is>
      </c>
      <c r="N40" s="45" t="n"/>
    </row>
    <row r="41" ht="55.5" customHeight="1">
      <c r="A41" s="45" t="n"/>
      <c r="B41" s="45" t="n"/>
      <c r="C41" s="45" t="n"/>
      <c r="D41" s="45" t="n"/>
      <c r="E41" s="44" t="inlineStr">
        <is>
          <t>G   Tensioner Bracket</t>
        </is>
      </c>
      <c r="F41" s="45" t="n"/>
      <c r="G41" s="46" t="n"/>
      <c r="H41" s="46" t="n"/>
      <c r="I41" s="44" t="n"/>
      <c r="J41" s="44" t="inlineStr">
        <is>
          <t>A
Tensioner</t>
        </is>
      </c>
      <c r="K41" s="44" t="n"/>
      <c r="L41" s="44" t="n"/>
      <c r="M41" s="45" t="inlineStr">
        <is>
          <t>Fastening</t>
        </is>
      </c>
      <c r="N41" s="45" t="n"/>
    </row>
    <row r="42" ht="71.25" customHeight="1">
      <c r="A42" s="45" t="n"/>
      <c r="B42" s="45" t="n"/>
      <c r="C42" s="45" t="n"/>
      <c r="D42" s="45" t="n"/>
      <c r="E42" s="44" t="n"/>
      <c r="F42" s="45" t="n"/>
      <c r="G42" s="46" t="n"/>
      <c r="H42" s="46" t="n"/>
      <c r="I42" s="44" t="n"/>
      <c r="J42" s="44" t="inlineStr">
        <is>
          <t>C
Idlers</t>
        </is>
      </c>
      <c r="K42" s="44" t="n"/>
      <c r="L42" s="44" t="n"/>
      <c r="M42" s="45" t="inlineStr">
        <is>
          <t>Fastening</t>
        </is>
      </c>
      <c r="N42" s="45" t="n"/>
    </row>
    <row r="43" ht="55.5" customHeight="1">
      <c r="A43" s="45" t="n"/>
      <c r="B43" s="45" t="n"/>
      <c r="C43" s="45" t="n"/>
      <c r="D43" s="45" t="n"/>
      <c r="E43" s="44" t="n"/>
      <c r="F43" s="45" t="n"/>
      <c r="G43" s="46" t="n"/>
      <c r="H43" s="46" t="n"/>
      <c r="I43" s="44" t="n"/>
      <c r="J43" s="44" t="inlineStr">
        <is>
          <t>G1
Cylinder Block</t>
        </is>
      </c>
      <c r="K43" s="44" t="n"/>
      <c r="L43" s="44" t="n"/>
      <c r="M43" s="45" t="inlineStr">
        <is>
          <t>Fastening</t>
        </is>
      </c>
      <c r="N43" s="45" t="n"/>
    </row>
    <row r="44" ht="55.5" customHeight="1">
      <c r="A44" s="45" t="n"/>
      <c r="B44" s="45" t="n"/>
      <c r="C44" s="45" t="n"/>
      <c r="D44" s="45" t="n"/>
      <c r="E44" s="44" t="n"/>
      <c r="F44" s="45" t="n"/>
      <c r="G44" s="46" t="n"/>
      <c r="H44" s="46" t="n"/>
      <c r="I44" s="44" t="n"/>
      <c r="J44" s="44" t="inlineStr">
        <is>
          <t>B
Belt</t>
        </is>
      </c>
      <c r="K44" s="44" t="n"/>
      <c r="L44" s="44" t="n"/>
      <c r="M44" s="46" t="inlineStr">
        <is>
          <t>Clearance</t>
        </is>
      </c>
      <c r="N44" s="45" t="n"/>
    </row>
    <row r="45" ht="55.5" customHeight="1">
      <c r="A45" s="45" t="n"/>
      <c r="B45" s="45" t="n"/>
      <c r="C45" s="45" t="n"/>
      <c r="D45" s="45" t="n"/>
      <c r="E45" s="44" t="n"/>
      <c r="F45" s="45" t="n"/>
      <c r="G45" s="44" t="n"/>
      <c r="H45" s="45" t="n"/>
      <c r="I45" s="45" t="n"/>
      <c r="J45" s="44" t="inlineStr">
        <is>
          <t>B2
Front Cover</t>
        </is>
      </c>
      <c r="K45" s="44" t="n"/>
      <c r="L45" s="44" t="n"/>
      <c r="M45" s="46" t="inlineStr">
        <is>
          <t>Clearance</t>
        </is>
      </c>
      <c r="N45" s="45" t="n"/>
    </row>
  </sheetData>
  <pageMargins left="0.25" right="0" top="0.5" bottom="0.5" header="0" footer="0"/>
  <pageSetup orientation="landscape" scale="60" fitToHeight="0"/>
  <headerFooter alignWithMargins="0">
    <oddHeader>&amp;L&amp;8 Form # EN-7.3-F-VDP0960A (23-Feb-06)</oddHeader>
    <oddFooter/>
    <evenHeader/>
    <evenFooter/>
    <firstHeader/>
    <firstFooter/>
  </headerFooter>
  <legacyDrawing xmlns:r="http://schemas.openxmlformats.org/officeDocument/2006/relationships" r:id="anysvml"/>
</worksheet>
</file>

<file path=xl/worksheets/sheet11.xml><?xml version="1.0" encoding="utf-8"?>
<worksheet xmlns="http://schemas.openxmlformats.org/spreadsheetml/2006/main">
  <sheetPr codeName="shtWords">
    <outlinePr summaryBelow="1" summaryRight="1"/>
    <pageSetUpPr fitToPage="1"/>
  </sheetPr>
  <dimension ref="A1:L84"/>
  <sheetViews>
    <sheetView workbookViewId="0">
      <pane ySplit="6" topLeftCell="A7" activePane="bottomLeft" state="frozen"/>
      <selection pane="bottomLeft" activeCell="B15" sqref="B15"/>
    </sheetView>
  </sheetViews>
  <sheetFormatPr baseColWidth="8" defaultColWidth="9.1796875" defaultRowHeight="14"/>
  <cols>
    <col width="22.81640625" customWidth="1" style="64" min="1" max="1"/>
    <col width="16.81640625" customWidth="1" style="64" min="2" max="2"/>
    <col width="7.1796875" customWidth="1" style="15" min="3" max="12"/>
    <col width="10.26953125" customWidth="1" style="15" min="13" max="13"/>
    <col width="9.1796875" customWidth="1" style="15" min="14" max="16384"/>
  </cols>
  <sheetData>
    <row r="1" ht="17.5" customFormat="1" customHeight="1" s="63">
      <c r="A1" s="67" t="inlineStr">
        <is>
          <t>Judgment Words</t>
        </is>
      </c>
      <c r="B1" s="68" t="n"/>
      <c r="C1" s="68" t="n"/>
      <c r="D1" s="68" t="n"/>
      <c r="E1" s="68" t="n"/>
      <c r="F1" s="68" t="n"/>
      <c r="G1" s="68" t="n"/>
      <c r="H1" s="68" t="n"/>
      <c r="I1" s="68" t="n"/>
      <c r="J1" s="68" t="n"/>
      <c r="K1" s="68" t="n"/>
      <c r="L1" s="69" t="n"/>
    </row>
    <row r="2" hidden="1" ht="15.75" customFormat="1" customHeight="1" s="64">
      <c r="A2" s="70" t="n"/>
      <c r="B2" s="71" t="n"/>
      <c r="C2" s="71" t="n"/>
      <c r="D2" s="71" t="n"/>
      <c r="E2" s="71" t="n"/>
      <c r="F2" s="71" t="n"/>
      <c r="G2" s="71" t="n"/>
      <c r="H2" s="71" t="n"/>
      <c r="I2" s="71" t="n"/>
      <c r="J2" s="71" t="n"/>
      <c r="K2" s="71" t="n"/>
      <c r="L2" s="71" t="n"/>
    </row>
    <row r="3" ht="31.5" customFormat="1" customHeight="1" s="64">
      <c r="A3" s="379" t="inlineStr">
        <is>
          <t>Documents used for reports and presentations should contain only engineering results, facts, and judgments.  These documents should not contain speculations, opinions, vague non descriptive words, or words with emotional connotations.</t>
        </is>
      </c>
    </row>
    <row r="4" ht="15.75" customFormat="1" customHeight="1" s="64">
      <c r="A4" s="381" t="inlineStr">
        <is>
          <t>Some examples of words or phrases that are to be avoided are listed below.</t>
        </is>
      </c>
    </row>
    <row r="5" ht="16.5" customFormat="1" customHeight="1" s="64">
      <c r="A5" s="380" t="inlineStr">
        <is>
          <t>Enter Judgment Words in column A below.  Do not skip a row.  Code will stop searching for words when an empty row is found.</t>
        </is>
      </c>
    </row>
    <row r="6" ht="13" customFormat="1" customHeight="1" s="64">
      <c r="A6" s="65" t="inlineStr">
        <is>
          <t>Judgment Words</t>
        </is>
      </c>
      <c r="B6" s="72" t="inlineStr">
        <is>
          <t>Suggestions</t>
        </is>
      </c>
      <c r="C6" s="66" t="n"/>
      <c r="D6" s="66" t="n"/>
      <c r="E6" s="66" t="n"/>
      <c r="F6" s="66" t="n"/>
      <c r="G6" s="66" t="n"/>
      <c r="H6" s="66" t="n"/>
      <c r="I6" s="66" t="n"/>
      <c r="J6" s="66" t="n"/>
      <c r="K6" s="66" t="n"/>
      <c r="L6" s="66" t="n"/>
    </row>
    <row r="7">
      <c r="A7" s="64" t="inlineStr">
        <is>
          <t>annihilate</t>
        </is>
      </c>
      <c r="B7" s="27" t="n"/>
      <c r="C7" s="14" t="n"/>
      <c r="D7" s="14" t="n"/>
      <c r="E7" s="14" t="n"/>
      <c r="F7" s="14" t="n"/>
      <c r="G7" s="14" t="n"/>
      <c r="H7" s="14" t="n"/>
      <c r="I7" s="14" t="n"/>
      <c r="J7" s="14" t="n"/>
      <c r="K7" s="14" t="n"/>
      <c r="L7" s="14" t="n"/>
    </row>
    <row r="8">
      <c r="A8" s="64" t="inlineStr">
        <is>
          <t>apocalyptic</t>
        </is>
      </c>
      <c r="B8" s="27" t="n"/>
      <c r="C8" s="14" t="n"/>
      <c r="D8" s="14" t="n"/>
      <c r="E8" s="14" t="n"/>
      <c r="F8" s="14" t="n"/>
      <c r="G8" s="14" t="n"/>
      <c r="H8" s="14" t="n"/>
      <c r="I8" s="14" t="n"/>
      <c r="J8" s="14" t="n"/>
      <c r="K8" s="14" t="n"/>
      <c r="L8" s="14" t="n"/>
    </row>
    <row r="9">
      <c r="A9" s="64" t="inlineStr">
        <is>
          <t>asphyxiating</t>
        </is>
      </c>
    </row>
    <row r="10">
      <c r="A10" s="64" t="inlineStr">
        <is>
          <t>bad</t>
        </is>
      </c>
    </row>
    <row r="11">
      <c r="A11" s="64" t="inlineStr">
        <is>
          <t>Band-Aid</t>
        </is>
      </c>
    </row>
    <row r="12">
      <c r="A12" s="64" t="inlineStr">
        <is>
          <t>biblical</t>
        </is>
      </c>
    </row>
    <row r="13">
      <c r="A13" s="64" t="inlineStr">
        <is>
          <t>big time</t>
        </is>
      </c>
    </row>
    <row r="14">
      <c r="A14" s="64" t="inlineStr">
        <is>
          <t>cataclysmic</t>
        </is>
      </c>
    </row>
    <row r="15">
      <c r="A15" s="64" t="inlineStr">
        <is>
          <t>catastrophic</t>
        </is>
      </c>
    </row>
    <row r="16">
      <c r="A16" s="64" t="inlineStr">
        <is>
          <t>Challenger</t>
        </is>
      </c>
    </row>
    <row r="17">
      <c r="A17" s="64" t="inlineStr">
        <is>
          <t>chaotic</t>
        </is>
      </c>
    </row>
    <row r="18">
      <c r="A18" s="64" t="inlineStr">
        <is>
          <t>Cobain</t>
        </is>
      </c>
    </row>
    <row r="19">
      <c r="A19" s="64" t="inlineStr">
        <is>
          <t>coffin</t>
        </is>
      </c>
    </row>
    <row r="20">
      <c r="A20" s="64" t="inlineStr">
        <is>
          <t>Corvair-like</t>
        </is>
      </c>
    </row>
    <row r="21">
      <c r="A21" s="64" t="inlineStr">
        <is>
          <t>crippling</t>
        </is>
      </c>
    </row>
    <row r="22">
      <c r="A22" s="64" t="inlineStr">
        <is>
          <t>critical</t>
        </is>
      </c>
    </row>
    <row r="23">
      <c r="A23" s="64" t="inlineStr">
        <is>
          <t>dangerous</t>
        </is>
      </c>
    </row>
    <row r="24">
      <c r="A24" s="64" t="inlineStr">
        <is>
          <t>dead</t>
        </is>
      </c>
    </row>
    <row r="25">
      <c r="A25" s="64" t="inlineStr">
        <is>
          <t>death</t>
        </is>
      </c>
    </row>
    <row r="26">
      <c r="A26" s="64" t="inlineStr">
        <is>
          <t>deathtrap</t>
        </is>
      </c>
    </row>
    <row r="27">
      <c r="A27" s="64" t="inlineStr">
        <is>
          <t>debilitating</t>
        </is>
      </c>
    </row>
    <row r="28">
      <c r="A28" s="64" t="inlineStr">
        <is>
          <t>decapitating</t>
        </is>
      </c>
    </row>
    <row r="29">
      <c r="A29" s="64" t="inlineStr">
        <is>
          <t>defect</t>
        </is>
      </c>
    </row>
    <row r="30">
      <c r="A30" s="64" t="inlineStr">
        <is>
          <t>defective</t>
        </is>
      </c>
    </row>
    <row r="31">
      <c r="A31" s="64" t="inlineStr">
        <is>
          <t>die</t>
        </is>
      </c>
    </row>
    <row r="32">
      <c r="A32" s="64" t="inlineStr">
        <is>
          <t>died</t>
        </is>
      </c>
    </row>
    <row r="33">
      <c r="A33" s="64" t="inlineStr">
        <is>
          <t>disemboweling</t>
        </is>
      </c>
    </row>
    <row r="34">
      <c r="A34" s="64" t="inlineStr">
        <is>
          <t>disfigure</t>
        </is>
      </c>
    </row>
    <row r="35">
      <c r="A35" s="64" t="inlineStr">
        <is>
          <t>disfiguring</t>
        </is>
      </c>
    </row>
    <row r="36">
      <c r="A36" s="64" t="inlineStr">
        <is>
          <t>enfeebling</t>
        </is>
      </c>
    </row>
    <row r="37">
      <c r="A37" s="64" t="inlineStr">
        <is>
          <t>evil</t>
        </is>
      </c>
    </row>
    <row r="38">
      <c r="A38" s="64" t="inlineStr">
        <is>
          <t>eviscerated</t>
        </is>
      </c>
    </row>
    <row r="39">
      <c r="A39" s="64" t="inlineStr">
        <is>
          <t>explode</t>
        </is>
      </c>
    </row>
    <row r="40">
      <c r="A40" s="64" t="inlineStr">
        <is>
          <t>failed</t>
        </is>
      </c>
    </row>
    <row r="41">
      <c r="A41" s="64" t="inlineStr">
        <is>
          <t>failure</t>
        </is>
      </c>
    </row>
    <row r="42">
      <c r="A42" s="64" t="inlineStr">
        <is>
          <t>fire</t>
        </is>
      </c>
    </row>
    <row r="43">
      <c r="A43" s="64" t="inlineStr">
        <is>
          <t>fireball</t>
        </is>
      </c>
    </row>
    <row r="44">
      <c r="A44" s="64" t="inlineStr">
        <is>
          <t>flawed</t>
        </is>
      </c>
    </row>
    <row r="45">
      <c r="A45" s="64" t="inlineStr">
        <is>
          <t>genocide</t>
        </is>
      </c>
    </row>
    <row r="46">
      <c r="A46" s="64" t="inlineStr">
        <is>
          <t>ghastly</t>
        </is>
      </c>
    </row>
    <row r="47">
      <c r="A47" s="64" t="inlineStr">
        <is>
          <t>grenadelike</t>
        </is>
      </c>
    </row>
    <row r="48">
      <c r="A48" s="64" t="inlineStr">
        <is>
          <t>grisly</t>
        </is>
      </c>
    </row>
    <row r="49">
      <c r="A49" s="64" t="inlineStr">
        <is>
          <t>gruesome</t>
        </is>
      </c>
    </row>
    <row r="50">
      <c r="A50" s="64" t="inlineStr">
        <is>
          <t>Hindenburg</t>
        </is>
      </c>
    </row>
    <row r="51">
      <c r="A51" s="64" t="inlineStr">
        <is>
          <t>hobbling</t>
        </is>
      </c>
    </row>
    <row r="52">
      <c r="A52" s="64" t="inlineStr">
        <is>
          <t>horrific</t>
        </is>
      </c>
    </row>
    <row r="53">
      <c r="A53" s="64" t="inlineStr">
        <is>
          <t>impaling</t>
        </is>
      </c>
    </row>
    <row r="54">
      <c r="A54" s="64" t="inlineStr">
        <is>
          <t>inferno</t>
        </is>
      </c>
    </row>
    <row r="55">
      <c r="A55" s="64" t="inlineStr">
        <is>
          <t>injured</t>
        </is>
      </c>
    </row>
    <row r="56">
      <c r="A56" s="64" t="inlineStr">
        <is>
          <t>injury</t>
        </is>
      </c>
    </row>
    <row r="57">
      <c r="A57" s="64" t="inlineStr">
        <is>
          <t>Kevorkianesque</t>
        </is>
      </c>
    </row>
    <row r="58">
      <c r="A58" s="64" t="inlineStr">
        <is>
          <t>lacerating</t>
        </is>
      </c>
    </row>
    <row r="59">
      <c r="A59" s="64" t="inlineStr">
        <is>
          <t>life-threatening</t>
        </is>
      </c>
    </row>
    <row r="60">
      <c r="A60" s="64" t="inlineStr">
        <is>
          <t>maiming</t>
        </is>
      </c>
    </row>
    <row r="61">
      <c r="A61" s="64" t="inlineStr">
        <is>
          <t>malicious</t>
        </is>
      </c>
    </row>
    <row r="62">
      <c r="A62" s="64" t="inlineStr">
        <is>
          <t>mangling</t>
        </is>
      </c>
    </row>
    <row r="63">
      <c r="A63" s="64" t="inlineStr">
        <is>
          <t>maniacal</t>
        </is>
      </c>
    </row>
    <row r="64">
      <c r="A64" s="64" t="inlineStr">
        <is>
          <t>mutilating</t>
        </is>
      </c>
    </row>
    <row r="65">
      <c r="A65" s="64" t="inlineStr">
        <is>
          <t>potentially-disfiguring</t>
        </is>
      </c>
    </row>
    <row r="66">
      <c r="A66" s="64" t="inlineStr">
        <is>
          <t>powder keg</t>
        </is>
      </c>
    </row>
    <row r="67">
      <c r="A67" s="64" t="inlineStr">
        <is>
          <t>problem</t>
        </is>
      </c>
    </row>
    <row r="68">
      <c r="A68" s="64" t="inlineStr">
        <is>
          <t>safety</t>
        </is>
      </c>
    </row>
    <row r="69">
      <c r="A69" s="64" t="inlineStr">
        <is>
          <t>safety related</t>
        </is>
      </c>
    </row>
    <row r="70">
      <c r="A70" s="64" t="inlineStr">
        <is>
          <t>sarcophagus</t>
        </is>
      </c>
    </row>
    <row r="71">
      <c r="A71" s="64" t="inlineStr">
        <is>
          <t>serious</t>
        </is>
      </c>
    </row>
    <row r="72">
      <c r="A72" s="64" t="inlineStr">
        <is>
          <t>spontaneous combustion</t>
        </is>
      </c>
    </row>
    <row r="73">
      <c r="A73" s="64" t="inlineStr">
        <is>
          <t>startling</t>
        </is>
      </c>
    </row>
    <row r="74">
      <c r="A74" s="64" t="inlineStr">
        <is>
          <t>suffocating</t>
        </is>
      </c>
    </row>
    <row r="75">
      <c r="A75" s="64" t="inlineStr">
        <is>
          <t>suicidal</t>
        </is>
      </c>
    </row>
    <row r="76">
      <c r="A76" s="64" t="inlineStr">
        <is>
          <t>suicide</t>
        </is>
      </c>
    </row>
    <row r="77">
      <c r="A77" s="64" t="inlineStr">
        <is>
          <t>terrifying</t>
        </is>
      </c>
    </row>
    <row r="78">
      <c r="A78" s="64" t="inlineStr">
        <is>
          <t>Titanic</t>
        </is>
      </c>
    </row>
    <row r="79">
      <c r="A79" s="64" t="inlineStr">
        <is>
          <t>tomb</t>
        </is>
      </c>
    </row>
    <row r="80">
      <c r="A80" s="64" t="inlineStr">
        <is>
          <t>tomblike</t>
        </is>
      </c>
    </row>
    <row r="81">
      <c r="A81" s="64" t="inlineStr">
        <is>
          <t>unstable</t>
        </is>
      </c>
    </row>
    <row r="82">
      <c r="A82" s="64" t="inlineStr">
        <is>
          <t>widow-maker</t>
        </is>
      </c>
    </row>
    <row r="83">
      <c r="A83" s="64" t="inlineStr">
        <is>
          <t>you’re toast</t>
        </is>
      </c>
    </row>
    <row r="84">
      <c r="A84" s="103" t="inlineStr">
        <is>
          <t>安全</t>
        </is>
      </c>
    </row>
  </sheetData>
  <mergeCells count="3">
    <mergeCell ref="A3:L3"/>
    <mergeCell ref="A5:L5"/>
    <mergeCell ref="A4:L4"/>
  </mergeCells>
  <pageMargins left="0.75" right="0.75" top="1" bottom="1" header="0.5" footer="0.5"/>
  <pageSetup orientation="portrait" scale="81" fitToHeight="0"/>
</worksheet>
</file>

<file path=xl/worksheets/sheet12.xml><?xml version="1.0" encoding="utf-8"?>
<worksheet xmlns="http://schemas.openxmlformats.org/spreadsheetml/2006/main">
  <sheetPr codeName="Sheet1">
    <outlinePr summaryBelow="1" summaryRight="1"/>
    <pageSetUpPr/>
  </sheetPr>
  <dimension ref="A1:B11"/>
  <sheetViews>
    <sheetView workbookViewId="0">
      <selection activeCell="A1" sqref="A1"/>
    </sheetView>
  </sheetViews>
  <sheetFormatPr baseColWidth="8" defaultRowHeight="12.5"/>
  <cols>
    <col width="15.7265625" bestFit="1" customWidth="1" min="1" max="1"/>
  </cols>
  <sheetData>
    <row r="1">
      <c r="A1" t="inlineStr">
        <is>
          <t>L1/L2:电池仓-/底座-</t>
        </is>
      </c>
      <c r="B1" t="n">
        <v>13</v>
      </c>
    </row>
    <row r="2">
      <c r="A2" t="inlineStr">
        <is>
          <t>L1/L5:电池仓-/电池包-</t>
        </is>
      </c>
      <c r="B2" t="n">
        <v>14</v>
      </c>
    </row>
    <row r="3">
      <c r="A3" t="inlineStr">
        <is>
          <t>L2/L4:底座-/电机-</t>
        </is>
      </c>
      <c r="B3" t="n">
        <v>15</v>
      </c>
    </row>
    <row r="4">
      <c r="A4" t="inlineStr">
        <is>
          <t>L1/L3:电池仓-/电池仓盖-</t>
        </is>
      </c>
      <c r="B4" t="n">
        <v>16</v>
      </c>
    </row>
    <row r="5">
      <c r="A5" t="inlineStr">
        <is>
          <t>L2/L6:底座-/DECK-</t>
        </is>
      </c>
      <c r="B5" t="n">
        <v>17</v>
      </c>
    </row>
    <row r="6">
      <c r="A6" t="inlineStr">
        <is>
          <t>L4/L7:电机-/电机ＰＣＢ-</t>
        </is>
      </c>
      <c r="B6" t="n">
        <v>22</v>
      </c>
    </row>
    <row r="7">
      <c r="A7" t="inlineStr">
        <is>
          <t>L1/L8:电池仓-/电源管理ＰＣＢ-</t>
        </is>
      </c>
      <c r="B7" t="n">
        <v>23</v>
      </c>
    </row>
    <row r="8">
      <c r="A8" t="inlineStr">
        <is>
          <t>L4/L9:电机-/刀片系统-</t>
        </is>
      </c>
      <c r="B8" t="n">
        <v>25</v>
      </c>
    </row>
    <row r="9">
      <c r="A9" t="inlineStr">
        <is>
          <t>L1/L4:电池仓-/电机-</t>
        </is>
      </c>
      <c r="B9" t="n">
        <v>26</v>
      </c>
    </row>
    <row r="10">
      <c r="A10" t="inlineStr">
        <is>
          <t>L1/L10:电池仓-/把手组件-</t>
        </is>
      </c>
      <c r="B10" t="n">
        <v>28</v>
      </c>
    </row>
    <row r="11">
      <c r="A11" t="inlineStr">
        <is>
          <t>L1/L6:电池仓-/DECK-</t>
        </is>
      </c>
      <c r="B11" t="n">
        <v>29</v>
      </c>
    </row>
  </sheetData>
  <pageMargins left="0.7" right="0.7" top="0.75" bottom="0.75" header="0.3" footer="0.3"/>
</worksheet>
</file>

<file path=xl/worksheets/sheet13.xml><?xml version="1.0" encoding="utf-8"?>
<worksheet xmlns="http://schemas.openxmlformats.org/spreadsheetml/2006/main">
  <sheetPr codeName="Sheet2">
    <outlinePr summaryBelow="1" summaryRight="1"/>
    <pageSetUpPr/>
  </sheetPr>
  <dimension ref="A1:B15"/>
  <sheetViews>
    <sheetView workbookViewId="0">
      <selection activeCell="A6" sqref="A6"/>
    </sheetView>
  </sheetViews>
  <sheetFormatPr baseColWidth="8" defaultRowHeight="12.5"/>
  <sheetData>
    <row r="1">
      <c r="A1" t="inlineStr">
        <is>
          <t>L1:电池仓-</t>
        </is>
      </c>
      <c r="B1" t="n">
        <v>41157</v>
      </c>
    </row>
    <row r="2">
      <c r="A2" t="inlineStr">
        <is>
          <t>L1:电池仓-</t>
        </is>
      </c>
      <c r="B2" t="n">
        <v>41157</v>
      </c>
    </row>
    <row r="3">
      <c r="A3" t="inlineStr">
        <is>
          <t>L1:电池仓-</t>
        </is>
      </c>
      <c r="B3" t="n">
        <v>41157</v>
      </c>
    </row>
    <row r="4">
      <c r="A4" t="inlineStr">
        <is>
          <t>L1:电池仓-</t>
        </is>
      </c>
      <c r="B4" t="n">
        <v>41157</v>
      </c>
    </row>
    <row r="5">
      <c r="A5" t="inlineStr">
        <is>
          <t>L1:电池仓-</t>
        </is>
      </c>
      <c r="B5" t="n">
        <v>41157</v>
      </c>
    </row>
    <row r="6">
      <c r="A6" t="inlineStr">
        <is>
          <t>L1:电池仓-</t>
        </is>
      </c>
      <c r="B6" t="n">
        <v>41157</v>
      </c>
    </row>
    <row r="7">
      <c r="A7" t="inlineStr">
        <is>
          <t>L1:电池仓-</t>
        </is>
      </c>
      <c r="B7" t="n">
        <v>41157</v>
      </c>
    </row>
    <row r="8">
      <c r="A8" t="inlineStr">
        <is>
          <t>L2:底座-</t>
        </is>
      </c>
      <c r="B8" t="n">
        <v>41158</v>
      </c>
    </row>
    <row r="9">
      <c r="A9" t="inlineStr">
        <is>
          <t>L2:底座-</t>
        </is>
      </c>
      <c r="B9" t="n">
        <v>41158</v>
      </c>
    </row>
    <row r="10">
      <c r="A10" t="inlineStr">
        <is>
          <t>L2:底座-</t>
        </is>
      </c>
      <c r="B10" t="n">
        <v>41158</v>
      </c>
    </row>
    <row r="11">
      <c r="A11" t="inlineStr">
        <is>
          <t>L3:电池仓盖-</t>
        </is>
      </c>
      <c r="B11" t="n">
        <v>41159</v>
      </c>
    </row>
    <row r="12">
      <c r="A12" t="inlineStr">
        <is>
          <t>L4:电机-</t>
        </is>
      </c>
      <c r="B12" t="n">
        <v>41160</v>
      </c>
    </row>
    <row r="13">
      <c r="A13" t="inlineStr">
        <is>
          <t>L4:电机-</t>
        </is>
      </c>
      <c r="B13" t="n">
        <v>41160</v>
      </c>
    </row>
    <row r="14">
      <c r="A14" t="inlineStr">
        <is>
          <t>L4:电机-</t>
        </is>
      </c>
      <c r="B14" t="n">
        <v>41160</v>
      </c>
    </row>
    <row r="15">
      <c r="A15" t="inlineStr">
        <is>
          <t>L4:电机-</t>
        </is>
      </c>
      <c r="B15" t="n">
        <v>41160</v>
      </c>
    </row>
  </sheetData>
  <pageMargins left="0.7" right="0.7" top="0.75" bottom="0.75" header="0.3" footer="0.3"/>
  <pageSetup orientation="portrait" paperSize="9" horizontalDpi="360" verticalDpi="360"/>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Vincent Wang</dc:creator>
  <dcterms:created xsi:type="dcterms:W3CDTF">2005-12-19T11:38:28Z</dcterms:created>
  <dcterms:modified xsi:type="dcterms:W3CDTF">2026-03-13T07:09:15Z</dcterms:modified>
  <cp:lastModifiedBy>张洪源</cp:lastModifiedBy>
  <cp:lastPrinted>2026-03-13T06:41:25Z</cp:lastPrinted>
</cp:coreProperties>
</file>