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ctrlProps/ctrlProp2.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showInkAnnotation="0" codeName="ThisWorkbook" defaultThemeVersion="124226"/>
  <mc:AlternateContent xmlns:mc="http://schemas.openxmlformats.org/markup-compatibility/2006">
    <mc:Choice Requires="x15">
      <x15ac:absPath xmlns:x15ac="http://schemas.microsoft.com/office/spreadsheetml/2010/11/ac" url="D:\2-外科胆道镜\05-迈创\CN00002639\G06欧盟\"/>
    </mc:Choice>
  </mc:AlternateContent>
  <xr:revisionPtr revIDLastSave="0" documentId="13_ncr:1_{BD734D7E-9BB8-49CD-9546-FF00C81334CB}" xr6:coauthVersionLast="36" xr6:coauthVersionMax="36" xr10:uidLastSave="{00000000-0000-0000-0000-000000000000}"/>
  <bookViews>
    <workbookView xWindow="0" yWindow="0" windowWidth="28800" windowHeight="11880" tabRatio="816" firstSheet="4" activeTab="6" xr2:uid="{00000000-000D-0000-FFFF-FFFF00000000}"/>
  </bookViews>
  <sheets>
    <sheet name="VersionControl" sheetId="9" state="veryHidden" r:id="rId1"/>
    <sheet name="Block Template" sheetId="8" state="veryHidden" r:id="rId2"/>
    <sheet name="Inputs" sheetId="15" state="veryHidden" r:id="rId3"/>
    <sheet name="Outputs" sheetId="16" state="veryHidden" r:id="rId4"/>
    <sheet name="封面" sheetId="40" r:id="rId5"/>
    <sheet name="产品适用表 " sheetId="43" r:id="rId6"/>
    <sheet name="PFMEA-中文" sheetId="45" r:id="rId7"/>
    <sheet name="PFMEA -英文" sheetId="46" r:id="rId8"/>
    <sheet name="版本履历" sheetId="42" r:id="rId9"/>
    <sheet name="Definition of Change Point's" sheetId="17" state="hidden" r:id="rId10"/>
    <sheet name="Judgment Words" sheetId="13" state="hidden" r:id="rId11"/>
    <sheet name="temp1" sheetId="18" state="veryHidden" r:id="rId12"/>
    <sheet name="temp2" sheetId="19" state="veryHidden" r:id="rId13"/>
  </sheets>
  <externalReferences>
    <externalReference r:id="rId14"/>
  </externalReferences>
  <definedNames>
    <definedName name="a" localSheetId="7">#REF!</definedName>
    <definedName name="a">#REF!</definedName>
    <definedName name="a_design" localSheetId="7">#REF!</definedName>
    <definedName name="a_design" localSheetId="8">#REF!</definedName>
    <definedName name="a_design">#REF!</definedName>
    <definedName name="a_design_date" localSheetId="7">#REF!</definedName>
    <definedName name="a_design_date" localSheetId="8">#REF!</definedName>
    <definedName name="a_design_date">#REF!</definedName>
    <definedName name="a_design_resp" localSheetId="7">#REF!</definedName>
    <definedName name="a_design_resp" localSheetId="8">#REF!</definedName>
    <definedName name="a_design_resp">#REF!</definedName>
    <definedName name="a_man" localSheetId="7">#REF!</definedName>
    <definedName name="a_man" localSheetId="8">#REF!</definedName>
    <definedName name="a_man">#REF!</definedName>
    <definedName name="a_man_date" localSheetId="7">#REF!</definedName>
    <definedName name="a_man_date" localSheetId="8">#REF!</definedName>
    <definedName name="a_man_date">#REF!</definedName>
    <definedName name="a_man_resp" localSheetId="7">#REF!</definedName>
    <definedName name="a_man_resp" localSheetId="8">#REF!</definedName>
    <definedName name="a_man_resp">#REF!</definedName>
    <definedName name="a_val" localSheetId="7">#REF!</definedName>
    <definedName name="a_val" localSheetId="8">#REF!</definedName>
    <definedName name="a_val">#REF!</definedName>
    <definedName name="a_val_date" localSheetId="7">#REF!</definedName>
    <definedName name="a_val_date" localSheetId="8">#REF!</definedName>
    <definedName name="a_val_date">#REF!</definedName>
    <definedName name="a_val_resp" localSheetId="7">#REF!</definedName>
    <definedName name="a_val_resp" localSheetId="8">#REF!</definedName>
    <definedName name="a_val_resp">#REF!</definedName>
    <definedName name="aaaaa" localSheetId="7">#REF!</definedName>
    <definedName name="aaaaa">#REF!</definedName>
    <definedName name="actions_col" localSheetId="7">#REF!</definedName>
    <definedName name="actions_col" localSheetId="8">#REF!</definedName>
    <definedName name="actions_col">#REF!</definedName>
    <definedName name="author_col">VersionControl!$C$1</definedName>
    <definedName name="AUTO_MACRO" localSheetId="7">#REF!</definedName>
    <definedName name="AUTO_MACRO" localSheetId="8">#REF!</definedName>
    <definedName name="AUTO_MACRO">#REF!</definedName>
    <definedName name="block_descript">'Block Template'!$C$1</definedName>
    <definedName name="block_faceid">'Block Template'!$D$1</definedName>
    <definedName name="block_item">'Block Template'!$B$1</definedName>
    <definedName name="cause_col" localSheetId="7">#REF!</definedName>
    <definedName name="cause_col" localSheetId="8">#REF!</definedName>
    <definedName name="cause_col">#REF!</definedName>
    <definedName name="changcolco" localSheetId="7">#REF!</definedName>
    <definedName name="changcolco">#REF!</definedName>
    <definedName name="change_col" localSheetId="7">#REF!</definedName>
    <definedName name="change_col" localSheetId="8">#REF!</definedName>
    <definedName name="change_col">#REF!</definedName>
    <definedName name="cir" localSheetId="7">#REF!</definedName>
    <definedName name="cir" localSheetId="8">#REF!</definedName>
    <definedName name="cir">#REF!</definedName>
    <definedName name="circle" localSheetId="7">#REF!</definedName>
    <definedName name="circle" localSheetId="8">#REF!</definedName>
    <definedName name="circle">#REF!</definedName>
    <definedName name="class_col" localSheetId="7">#REF!</definedName>
    <definedName name="class_col" localSheetId="8">#REF!</definedName>
    <definedName name="class_col">#REF!</definedName>
    <definedName name="compDate" localSheetId="7">#REF!</definedName>
    <definedName name="compDate" localSheetId="8">#REF!</definedName>
    <definedName name="compDate">#REF!</definedName>
    <definedName name="count_col" localSheetId="3">Outputs!$A$4</definedName>
    <definedName name="count_col">Inputs!$A$4</definedName>
    <definedName name="d" localSheetId="7">#REF!</definedName>
    <definedName name="d" localSheetId="8">#REF!</definedName>
    <definedName name="d">#REF!</definedName>
    <definedName name="date" localSheetId="7">#REF!</definedName>
    <definedName name="date" localSheetId="8">#REF!</definedName>
    <definedName name="date">#REF!</definedName>
    <definedName name="date_col">VersionControl!$A$1</definedName>
    <definedName name="date1" localSheetId="7">#REF!</definedName>
    <definedName name="date1" localSheetId="8">#REF!</definedName>
    <definedName name="date1">#REF!</definedName>
    <definedName name="DE_row" localSheetId="7">#REF!</definedName>
    <definedName name="DE_row" localSheetId="8">#REF!</definedName>
    <definedName name="DE_row">#REF!</definedName>
    <definedName name="def_r2" localSheetId="7">#REF!</definedName>
    <definedName name="def_r2" localSheetId="8">#REF!</definedName>
    <definedName name="def_r2">#REF!</definedName>
    <definedName name="def_row" localSheetId="7">#REF!</definedName>
    <definedName name="def_row" localSheetId="8">#REF!</definedName>
    <definedName name="def_row">#REF!</definedName>
    <definedName name="descript" localSheetId="9">'[1]DFMEA-DRBFM'!$H$1</definedName>
    <definedName name="descript" localSheetId="7">#REF!</definedName>
    <definedName name="descript" localSheetId="8">#REF!</definedName>
    <definedName name="descript">#REF!</definedName>
    <definedName name="descript_col">VersionControl!$D$1</definedName>
    <definedName name="designcontrolD_col" localSheetId="7">#REF!</definedName>
    <definedName name="designcontrolD_col" localSheetId="8">#REF!</definedName>
    <definedName name="designcontrolD_col">#REF!</definedName>
    <definedName name="designcontrolP_col" localSheetId="7">#REF!</definedName>
    <definedName name="designcontrolP_col" localSheetId="8">#REF!</definedName>
    <definedName name="designcontrolP_col">#REF!</definedName>
    <definedName name="det_col" localSheetId="7">#REF!</definedName>
    <definedName name="det_col" localSheetId="8">#REF!</definedName>
    <definedName name="det_col">#REF!</definedName>
    <definedName name="det_def_col" localSheetId="7">#REF!</definedName>
    <definedName name="det_def_col" localSheetId="8">#REF!</definedName>
    <definedName name="det_def_col">#REF!</definedName>
    <definedName name="det_rating_col" localSheetId="7">#REF!</definedName>
    <definedName name="det_rating_col" localSheetId="8">#REF!</definedName>
    <definedName name="det_rating_col">#REF!</definedName>
    <definedName name="DFMEA_DRBFM" localSheetId="7">#REF!</definedName>
    <definedName name="DFMEA_DRBFM" localSheetId="8">#REF!</definedName>
    <definedName name="DFMEA_DRBFM">#REF!</definedName>
    <definedName name="diamond" localSheetId="7">#REF!</definedName>
    <definedName name="diamond" localSheetId="8">#REF!</definedName>
    <definedName name="diamond">#REF!</definedName>
    <definedName name="drbfm_engine" localSheetId="7">#REF!</definedName>
    <definedName name="drbfm_engine" localSheetId="8">#REF!</definedName>
    <definedName name="drbfm_engine">#REF!</definedName>
    <definedName name="DRBFM_row" localSheetId="7">#REF!</definedName>
    <definedName name="DRBFM_row" localSheetId="8">#REF!</definedName>
    <definedName name="DRBFM_row">#REF!</definedName>
    <definedName name="drbfm_trans" localSheetId="7">#REF!</definedName>
    <definedName name="drbfm_trans" localSheetId="8">#REF!</definedName>
    <definedName name="drbfm_trans">#REF!</definedName>
    <definedName name="drbfmNo" localSheetId="9">'[1]DFMEA-DRBFM'!$T$1</definedName>
    <definedName name="drbfmNo" localSheetId="7">#REF!</definedName>
    <definedName name="drbfmNo" localSheetId="8">#REF!</definedName>
    <definedName name="drbfmNo">#REF!</definedName>
    <definedName name="effect_col" localSheetId="7">#REF!</definedName>
    <definedName name="effect_col" localSheetId="8">#REF!</definedName>
    <definedName name="effect_col">#REF!</definedName>
    <definedName name="effect_def_col" localSheetId="7">#REF!</definedName>
    <definedName name="effect_def_col" localSheetId="8">#REF!</definedName>
    <definedName name="effect_def_col">#REF!</definedName>
    <definedName name="effect_rating_col" localSheetId="7">#REF!</definedName>
    <definedName name="effect_rating_col" localSheetId="8">#REF!</definedName>
    <definedName name="effect_rating_col">#REF!</definedName>
    <definedName name="end_col" localSheetId="7">#REF!</definedName>
    <definedName name="end_col" localSheetId="0">#REF!</definedName>
    <definedName name="end_col" localSheetId="8">#REF!</definedName>
    <definedName name="end_col">#REF!</definedName>
    <definedName name="eval_col" localSheetId="7">#REF!</definedName>
    <definedName name="eval_col" localSheetId="8">#REF!</definedName>
    <definedName name="eval_col">#REF!</definedName>
    <definedName name="first_col" localSheetId="3">Outputs!$A$4</definedName>
    <definedName name="first_col">Inputs!$A$4</definedName>
    <definedName name="first_row">'Block Template'!$A$2</definedName>
    <definedName name="fmode_col" localSheetId="7">#REF!</definedName>
    <definedName name="fmode_col" localSheetId="8">#REF!</definedName>
    <definedName name="fmode_col">#REF!</definedName>
    <definedName name="function_col" localSheetId="7">#REF!</definedName>
    <definedName name="function_col" localSheetId="8">#REF!</definedName>
    <definedName name="function_col">#REF!</definedName>
    <definedName name="grpComponent" localSheetId="7">#REF!</definedName>
    <definedName name="grpComponent" localSheetId="8">#REF!</definedName>
    <definedName name="grpComponent">#REF!</definedName>
    <definedName name="inputs_descript_col">Inputs!$C$4</definedName>
    <definedName name="inputs_item_col">Inputs!$B$4</definedName>
    <definedName name="inputs_last_col">Inputs!$D$4</definedName>
    <definedName name="inputs_provider_col">Inputs!$D$4</definedName>
    <definedName name="item_col" localSheetId="3">Outputs!$B$4</definedName>
    <definedName name="item_col">Inputs!$B$4</definedName>
    <definedName name="kdate" localSheetId="7">#REF!</definedName>
    <definedName name="kdate" localSheetId="8">#REF!</definedName>
    <definedName name="kdate">#REF!</definedName>
    <definedName name="key" localSheetId="7">#REF!</definedName>
    <definedName name="key" localSheetId="8">#REF!</definedName>
    <definedName name="key">#REF!</definedName>
    <definedName name="keyFunction" localSheetId="7">#REF!</definedName>
    <definedName name="keyFunction" localSheetId="8">#REF!</definedName>
    <definedName name="keyFunction">#REF!</definedName>
    <definedName name="keyInterface" localSheetId="7">#REF!</definedName>
    <definedName name="keyInterface" localSheetId="8">#REF!</definedName>
    <definedName name="keyInterface">#REF!</definedName>
    <definedName name="last_col" localSheetId="3">Outputs!$D$4</definedName>
    <definedName name="last_col">Inputs!$C$4</definedName>
    <definedName name="last_row">'Block Template'!$A$36</definedName>
    <definedName name="line_col" localSheetId="7">#REF!</definedName>
    <definedName name="line_col" localSheetId="8">#REF!</definedName>
    <definedName name="line_col">#REF!</definedName>
    <definedName name="matrix" localSheetId="7">#REF!</definedName>
    <definedName name="matrix" localSheetId="8">#REF!</definedName>
    <definedName name="matrix">#REF!</definedName>
    <definedName name="matrix_clr" localSheetId="7">#REF!</definedName>
    <definedName name="matrix_clr" localSheetId="8">#REF!</definedName>
    <definedName name="matrix_clr">#REF!</definedName>
    <definedName name="my" localSheetId="9">'[1]DFMEA-DRBFM'!$H$2</definedName>
    <definedName name="my" localSheetId="7">#REF!</definedName>
    <definedName name="my" localSheetId="8">#REF!</definedName>
    <definedName name="my">#REF!</definedName>
    <definedName name="ndet_col" localSheetId="7">#REF!</definedName>
    <definedName name="ndet_col" localSheetId="8">#REF!</definedName>
    <definedName name="ndet_col">#REF!</definedName>
    <definedName name="new_det_col" localSheetId="7">#REF!</definedName>
    <definedName name="new_det_col" localSheetId="8">#REF!</definedName>
    <definedName name="new_det_col">#REF!</definedName>
    <definedName name="new_occ_col" localSheetId="7">#REF!</definedName>
    <definedName name="new_occ_col" localSheetId="8">#REF!</definedName>
    <definedName name="new_occ_col">#REF!</definedName>
    <definedName name="new_rpn_col" localSheetId="7">#REF!</definedName>
    <definedName name="new_rpn_col" localSheetId="8">#REF!</definedName>
    <definedName name="new_rpn_col">#REF!</definedName>
    <definedName name="new_sev_col" localSheetId="7">#REF!</definedName>
    <definedName name="new_sev_col" localSheetId="8">#REF!</definedName>
    <definedName name="new_sev_col">#REF!</definedName>
    <definedName name="nocc_col" localSheetId="7">#REF!</definedName>
    <definedName name="nocc_col" localSheetId="8">#REF!</definedName>
    <definedName name="nocc_col">#REF!</definedName>
    <definedName name="nrpn_col" localSheetId="7">#REF!</definedName>
    <definedName name="nrpn_col" localSheetId="8">#REF!</definedName>
    <definedName name="nrpn_col">#REF!</definedName>
    <definedName name="nsev_col" localSheetId="7">#REF!</definedName>
    <definedName name="nsev_col" localSheetId="8">#REF!</definedName>
    <definedName name="nsev_col">#REF!</definedName>
    <definedName name="o_functionCol">Outputs!$D$2</definedName>
    <definedName name="occ_col" localSheetId="7">#REF!</definedName>
    <definedName name="occ_col" localSheetId="8">#REF!</definedName>
    <definedName name="occ_col">#REF!</definedName>
    <definedName name="occ_def_col" localSheetId="7">#REF!</definedName>
    <definedName name="occ_def_col" localSheetId="8">#REF!</definedName>
    <definedName name="occ_def_col">#REF!</definedName>
    <definedName name="occ_rating_col" localSheetId="7">#REF!</definedName>
    <definedName name="occ_rating_col" localSheetId="8">#REF!</definedName>
    <definedName name="occ_rating_col">#REF!</definedName>
    <definedName name="OLE_LINK232" localSheetId="5">'产品适用表 '!#REF!</definedName>
    <definedName name="origdate" localSheetId="7">#REF!</definedName>
    <definedName name="origdate" localSheetId="8">#REF!</definedName>
    <definedName name="origdate">#REF!</definedName>
    <definedName name="out_col">Outputs!$D$4</definedName>
    <definedName name="outputs_descript_col">Outputs!$D$4</definedName>
    <definedName name="outputs_item_col">Outputs!$B$4</definedName>
    <definedName name="outputs_last_col">Outputs!$D$4</definedName>
    <definedName name="outputs_provider_col">Outputs!$C$4</definedName>
    <definedName name="part" localSheetId="7">#REF!</definedName>
    <definedName name="part" localSheetId="8">#REF!</definedName>
    <definedName name="part">#REF!</definedName>
    <definedName name="pentagon" localSheetId="7">#REF!</definedName>
    <definedName name="pentagon" localSheetId="8">#REF!</definedName>
    <definedName name="pentagon">#REF!</definedName>
    <definedName name="prefix">Outputs!$E$4</definedName>
    <definedName name="preparer" localSheetId="7">#REF!</definedName>
    <definedName name="preparer" localSheetId="8">#REF!</definedName>
    <definedName name="preparer">#REF!</definedName>
    <definedName name="_xlnm.Print_Area" localSheetId="2">Inputs!$A$1:$D$50</definedName>
    <definedName name="_xlnm.Print_Area" localSheetId="7">'PFMEA -英文'!$A$1:$S$76</definedName>
    <definedName name="_xlnm.Print_Area" localSheetId="8">版本履历!$A$1:$M$14</definedName>
    <definedName name="_xlnm.Print_Area" localSheetId="4">封面!$A$1:$M$20</definedName>
    <definedName name="proc" localSheetId="7">#REF!</definedName>
    <definedName name="proc" localSheetId="8">#REF!</definedName>
    <definedName name="proc">#REF!</definedName>
    <definedName name="program" localSheetId="9">'[1]DFMEA-DRBFM'!$H$3</definedName>
    <definedName name="program" localSheetId="7">#REF!</definedName>
    <definedName name="program" localSheetId="0">#REF!</definedName>
    <definedName name="program" localSheetId="8">#REF!</definedName>
    <definedName name="program">#REF!</definedName>
    <definedName name="r_color" localSheetId="7">#REF!</definedName>
    <definedName name="r_color" localSheetId="8">#REF!</definedName>
    <definedName name="r_color">#REF!</definedName>
    <definedName name="resp" localSheetId="7">#REF!</definedName>
    <definedName name="resp" localSheetId="8">#REF!</definedName>
    <definedName name="resp">#REF!</definedName>
    <definedName name="resp_col" localSheetId="7">#REF!</definedName>
    <definedName name="resp_col" localSheetId="8">#REF!</definedName>
    <definedName name="resp_col">#REF!</definedName>
    <definedName name="resp2" localSheetId="7">#REF!</definedName>
    <definedName name="resp2" localSheetId="8">#REF!</definedName>
    <definedName name="resp2">#REF!</definedName>
    <definedName name="revdate" localSheetId="7">#REF!</definedName>
    <definedName name="revdate" localSheetId="8">#REF!</definedName>
    <definedName name="revdate">#REF!</definedName>
    <definedName name="review_start" localSheetId="7">#REF!</definedName>
    <definedName name="review_start" localSheetId="8">#REF!</definedName>
    <definedName name="review_start">#REF!</definedName>
    <definedName name="rpn_col" localSheetId="7">#REF!</definedName>
    <definedName name="rpn_col" localSheetId="8">#REF!</definedName>
    <definedName name="rpn_col">#REF!</definedName>
    <definedName name="s" localSheetId="7">#REF!</definedName>
    <definedName name="s" localSheetId="8">#REF!</definedName>
    <definedName name="s">#REF!</definedName>
    <definedName name="sev_col" localSheetId="7">#REF!</definedName>
    <definedName name="sev_col" localSheetId="8">#REF!</definedName>
    <definedName name="sev_col">#REF!</definedName>
    <definedName name="sort_order" localSheetId="7">#REF!</definedName>
    <definedName name="sort_order" localSheetId="8">#REF!</definedName>
    <definedName name="sort_order">#REF!</definedName>
    <definedName name="square" localSheetId="7">#REF!</definedName>
    <definedName name="square" localSheetId="8">#REF!</definedName>
    <definedName name="square">#REF!</definedName>
    <definedName name="start">'Judgment Words'!$A$6</definedName>
    <definedName name="start_col" localSheetId="7">#REF!</definedName>
    <definedName name="start_col" localSheetId="8">#REF!</definedName>
    <definedName name="start_col">#REF!</definedName>
    <definedName name="start_row" localSheetId="7">#REF!</definedName>
    <definedName name="start_row" localSheetId="8">#REF!</definedName>
    <definedName name="start_row">#REF!</definedName>
    <definedName name="status_col" localSheetId="7">#REF!</definedName>
    <definedName name="status_col" localSheetId="8">#REF!</definedName>
    <definedName name="status_col">#REF!</definedName>
    <definedName name="stopsign" localSheetId="7">#REF!</definedName>
    <definedName name="stopsign" localSheetId="8">#REF!</definedName>
    <definedName name="stopsign">#REF!</definedName>
    <definedName name="suggest">'Judgment Words'!$B$6</definedName>
    <definedName name="t_color" localSheetId="7">#REF!</definedName>
    <definedName name="t_color" localSheetId="8">#REF!</definedName>
    <definedName name="t_color">#REF!</definedName>
    <definedName name="target_col" localSheetId="7">#REF!</definedName>
    <definedName name="target_col" localSheetId="8">#REF!</definedName>
    <definedName name="target_col">#REF!</definedName>
    <definedName name="team_row" localSheetId="7">#REF!</definedName>
    <definedName name="team_row" localSheetId="8">#REF!</definedName>
    <definedName name="team_row">#REF!</definedName>
    <definedName name="test_start" localSheetId="7">#REF!</definedName>
    <definedName name="test_start" localSheetId="8">#REF!</definedName>
    <definedName name="test_start">#REF!</definedName>
    <definedName name="triangle" localSheetId="7">#REF!</definedName>
    <definedName name="triangle" localSheetId="8">#REF!</definedName>
    <definedName name="triangle">#REF!</definedName>
    <definedName name="valid_admins">VersionControl!$H$1</definedName>
    <definedName name="version_col">VersionControl!$B$1</definedName>
    <definedName name="vpps" localSheetId="7">#REF!</definedName>
    <definedName name="vpps" localSheetId="8">#REF!</definedName>
    <definedName name="vpps">#REF!</definedName>
  </definedNames>
  <calcPr calcId="191029"/>
</workbook>
</file>

<file path=xl/calcChain.xml><?xml version="1.0" encoding="utf-8"?>
<calcChain xmlns="http://schemas.openxmlformats.org/spreadsheetml/2006/main">
  <c r="N65" i="46" l="1"/>
  <c r="N64" i="46"/>
  <c r="N56" i="46"/>
  <c r="N57" i="46"/>
  <c r="N44" i="46"/>
  <c r="N35" i="46"/>
  <c r="N24" i="46"/>
  <c r="N17" i="46"/>
  <c r="N9" i="46"/>
  <c r="N43" i="46"/>
  <c r="N34" i="46"/>
  <c r="N23" i="46"/>
  <c r="N16" i="46"/>
  <c r="N8" i="46"/>
  <c r="N42" i="45"/>
  <c r="N41" i="45"/>
  <c r="E28" i="45"/>
  <c r="E41" i="45" s="1"/>
  <c r="E1" i="42" l="1"/>
  <c r="L63" i="46" l="1"/>
  <c r="L62" i="46"/>
  <c r="N2" i="46"/>
  <c r="N1" i="46"/>
  <c r="E13" i="45" l="1"/>
  <c r="E1" i="45"/>
  <c r="C1" i="43"/>
  <c r="L48" i="45" l="1"/>
  <c r="L47" i="45"/>
  <c r="L2" i="42" l="1"/>
  <c r="L1" i="42"/>
  <c r="N13" i="45"/>
  <c r="N29" i="45"/>
  <c r="N28" i="45"/>
  <c r="N14" i="45"/>
  <c r="N2" i="45"/>
  <c r="N1" i="45"/>
  <c r="H1" i="43"/>
  <c r="H3" i="43"/>
  <c r="H2" i="43"/>
  <c r="C12" i="8" l="1"/>
  <c r="H12" i="8"/>
  <c r="C13" i="8"/>
  <c r="H13" i="8"/>
  <c r="C14" i="8"/>
  <c r="H14" i="8"/>
  <c r="C15" i="8"/>
  <c r="H15" i="8"/>
  <c r="C16" i="8"/>
  <c r="H16" i="8"/>
  <c r="C17" i="8"/>
  <c r="H17" i="8"/>
  <c r="C18" i="8"/>
  <c r="H18" i="8"/>
  <c r="C19" i="8"/>
  <c r="H19" i="8"/>
  <c r="C20" i="8"/>
  <c r="H20" i="8"/>
  <c r="C21" i="8"/>
  <c r="H21" i="8"/>
  <c r="A1" i="15"/>
  <c r="C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nznz32</author>
    <author>Bill Haughey</author>
  </authors>
  <commentList>
    <comment ref="K7" authorId="0" shapeId="0" xr:uid="{00000000-0006-0000-0900-000001000000}">
      <text>
        <r>
          <rPr>
            <b/>
            <sz val="8"/>
            <color indexed="81"/>
            <rFont val="Tahoma"/>
            <family val="2"/>
          </rPr>
          <t>Contents of this column populate top row of I'F Matrix.</t>
        </r>
      </text>
    </comment>
    <comment ref="L7" authorId="0" shapeId="0" xr:uid="{00000000-0006-0000-0900-000002000000}">
      <text>
        <r>
          <rPr>
            <b/>
            <sz val="8"/>
            <color indexed="81"/>
            <rFont val="Tahoma"/>
            <family val="2"/>
          </rPr>
          <t>Contents of this column populate top row of I'F Matrix.</t>
        </r>
        <r>
          <rPr>
            <sz val="8"/>
            <color indexed="81"/>
            <rFont val="Tahoma"/>
            <family val="2"/>
          </rPr>
          <t xml:space="preserve">
</t>
        </r>
      </text>
    </comment>
    <comment ref="M7" authorId="1" shapeId="0" xr:uid="{00000000-0006-0000-0900-000003000000}">
      <text>
        <r>
          <rPr>
            <b/>
            <sz val="8"/>
            <color indexed="81"/>
            <rFont val="Tahoma"/>
            <family val="2"/>
          </rPr>
          <t>Mate
Clearance
Fastening
Weld
Press-fit
Crimp
Molded
Adhesive
Interference fit
Rotational
Electrical (one-hand connection)
Electrical (two-hands connection)</t>
        </r>
      </text>
    </comment>
    <comment ref="N7" authorId="0" shapeId="0" xr:uid="{00000000-0006-0000-0900-000004000000}">
      <text>
        <r>
          <rPr>
            <b/>
            <sz val="8"/>
            <color indexed="81"/>
            <rFont val="Tahoma"/>
            <family val="2"/>
          </rPr>
          <t>Contents of this column populate Column B of DRBFM Form.</t>
        </r>
        <r>
          <rPr>
            <sz val="8"/>
            <color indexed="81"/>
            <rFont val="Tahoma"/>
            <family val="2"/>
          </rPr>
          <t xml:space="preserve">
</t>
        </r>
      </text>
    </comment>
  </commentList>
</comments>
</file>

<file path=xl/sharedStrings.xml><?xml version="1.0" encoding="utf-8"?>
<sst xmlns="http://schemas.openxmlformats.org/spreadsheetml/2006/main" count="1326" uniqueCount="725">
  <si>
    <t>Potential Failure Mode and Effects Analysis</t>
  </si>
  <si>
    <t>Description:</t>
  </si>
  <si>
    <t>Vehicle:</t>
  </si>
  <si>
    <t>ITEM</t>
  </si>
  <si>
    <t>DESCRIPTION</t>
  </si>
  <si>
    <t>Connector</t>
  </si>
  <si>
    <t>Clearance</t>
  </si>
  <si>
    <t>Component (out of scope)</t>
  </si>
  <si>
    <t>Relative Motion</t>
  </si>
  <si>
    <t>Line</t>
  </si>
  <si>
    <t>Block</t>
  </si>
  <si>
    <t>Oval</t>
  </si>
  <si>
    <t>Oval with Label</t>
  </si>
  <si>
    <t>Block (shaded) with Label</t>
  </si>
  <si>
    <t>Block with label</t>
  </si>
  <si>
    <t>First Row:</t>
  </si>
  <si>
    <t>Date</t>
  </si>
  <si>
    <t>Version #</t>
  </si>
  <si>
    <t>Author of Change</t>
  </si>
  <si>
    <t>Description of Change</t>
  </si>
  <si>
    <t>Valid Admins</t>
  </si>
  <si>
    <t>Model Year(s):</t>
  </si>
  <si>
    <t>Judgment Words</t>
  </si>
  <si>
    <t>Documents used for reports and presentations should contain only engineering results, facts, and judgments.  These documents should not contain speculations, opinions, vague non descriptive words, or words with emotional connotations.</t>
  </si>
  <si>
    <t>Some examples of words or phrases that are to be avoided are listed below.</t>
  </si>
  <si>
    <t>Enter Judgment Words in column A below.  Do not skip a row.  Code will stop searching for words when an empty row is found.</t>
  </si>
  <si>
    <t>Suggestions</t>
  </si>
  <si>
    <t>annihilate</t>
  </si>
  <si>
    <t>apocalyptic</t>
  </si>
  <si>
    <t>asphyxiating</t>
  </si>
  <si>
    <t>bad</t>
  </si>
  <si>
    <t>Band-Aid</t>
  </si>
  <si>
    <t>biblical</t>
  </si>
  <si>
    <t>big time</t>
  </si>
  <si>
    <t>cataclysmic</t>
  </si>
  <si>
    <t>catastrophic</t>
  </si>
  <si>
    <t>Challenger</t>
  </si>
  <si>
    <t>chaotic</t>
  </si>
  <si>
    <t>Cobain</t>
  </si>
  <si>
    <t>coffin</t>
  </si>
  <si>
    <t>Corvair-like</t>
  </si>
  <si>
    <t>crippling</t>
  </si>
  <si>
    <t>critical</t>
  </si>
  <si>
    <t>dangerous</t>
  </si>
  <si>
    <t>dead</t>
  </si>
  <si>
    <t>death</t>
  </si>
  <si>
    <t>deathtrap</t>
  </si>
  <si>
    <t>debilitating</t>
  </si>
  <si>
    <t>decapitating</t>
  </si>
  <si>
    <t>defect</t>
  </si>
  <si>
    <t>defective</t>
  </si>
  <si>
    <t>die</t>
  </si>
  <si>
    <t>died</t>
  </si>
  <si>
    <t>disemboweling</t>
  </si>
  <si>
    <t>disfigure</t>
  </si>
  <si>
    <t>disfiguring</t>
  </si>
  <si>
    <t>enfeebling</t>
  </si>
  <si>
    <t>evil</t>
  </si>
  <si>
    <t>eviscerated</t>
  </si>
  <si>
    <t>explode</t>
  </si>
  <si>
    <t>failed</t>
  </si>
  <si>
    <t>failure</t>
  </si>
  <si>
    <t>fire</t>
  </si>
  <si>
    <t>fireball</t>
  </si>
  <si>
    <t>flawed</t>
  </si>
  <si>
    <t>genocide</t>
  </si>
  <si>
    <t>ghastly</t>
  </si>
  <si>
    <t>grenadelike</t>
  </si>
  <si>
    <t>grisly</t>
  </si>
  <si>
    <t>gruesome</t>
  </si>
  <si>
    <t>Hindenburg</t>
  </si>
  <si>
    <t>hobbling</t>
  </si>
  <si>
    <t>horrific</t>
  </si>
  <si>
    <t>impaling</t>
  </si>
  <si>
    <t>inferno</t>
  </si>
  <si>
    <t>Kevorkianesque</t>
  </si>
  <si>
    <t>lacerating</t>
  </si>
  <si>
    <t>life-threatening</t>
  </si>
  <si>
    <t>maiming</t>
  </si>
  <si>
    <t>malicious</t>
  </si>
  <si>
    <t>mangling</t>
  </si>
  <si>
    <t>maniacal</t>
  </si>
  <si>
    <t>mutilating</t>
  </si>
  <si>
    <t>potentially-disfiguring</t>
  </si>
  <si>
    <t>powder keg</t>
  </si>
  <si>
    <t>problem</t>
  </si>
  <si>
    <t>safety</t>
  </si>
  <si>
    <t>safety related</t>
  </si>
  <si>
    <t>sarcophagus</t>
  </si>
  <si>
    <t>serious</t>
  </si>
  <si>
    <t>spontaneous combustion</t>
  </si>
  <si>
    <t>startling</t>
  </si>
  <si>
    <t>suffocating</t>
  </si>
  <si>
    <t>suicidal</t>
  </si>
  <si>
    <t>suicide</t>
  </si>
  <si>
    <t>terrifying</t>
  </si>
  <si>
    <t>Titanic</t>
  </si>
  <si>
    <t>tomb</t>
  </si>
  <si>
    <t>tomblike</t>
  </si>
  <si>
    <t>unstable</t>
  </si>
  <si>
    <t>widow-maker</t>
  </si>
  <si>
    <t>you’re toast</t>
  </si>
  <si>
    <t>#</t>
  </si>
  <si>
    <t>Inputs</t>
  </si>
  <si>
    <t>Description</t>
  </si>
  <si>
    <t>Provider</t>
  </si>
  <si>
    <t>Text Prefix</t>
  </si>
  <si>
    <t>Outputs</t>
  </si>
  <si>
    <t>Recipient(s)</t>
  </si>
  <si>
    <t>Output Functions</t>
  </si>
  <si>
    <t>System designed to</t>
  </si>
  <si>
    <t>Design FMEA</t>
  </si>
  <si>
    <t>VPPS 
Level 2</t>
  </si>
  <si>
    <t>VPPS Level 3</t>
  </si>
  <si>
    <t>VPPS 
Level 7</t>
  </si>
  <si>
    <t>VPPS 
Level 8</t>
  </si>
  <si>
    <t>VPPS 
Level 9</t>
  </si>
  <si>
    <t>Interfacing Component /Feature</t>
  </si>
  <si>
    <t>Interface Designation</t>
  </si>
  <si>
    <t>Interface Type</t>
  </si>
  <si>
    <t>Change and Reason for Change</t>
  </si>
  <si>
    <t>Powertrain</t>
  </si>
  <si>
    <t>Power Generation</t>
  </si>
  <si>
    <t>Engine</t>
  </si>
  <si>
    <t>Accessory Drive System</t>
  </si>
  <si>
    <t>Mate</t>
  </si>
  <si>
    <t>Fastening</t>
  </si>
  <si>
    <t xml:space="preserve">B  Belt </t>
  </si>
  <si>
    <t>Press-Fit</t>
  </si>
  <si>
    <t xml:space="preserve">E2  Power Steering  Pump </t>
  </si>
  <si>
    <t>F1  LH Cylinder Head</t>
  </si>
  <si>
    <t>G   Tensioner Bracket</t>
  </si>
  <si>
    <t/>
  </si>
  <si>
    <t xml:space="preserve">Description: </t>
  </si>
  <si>
    <t xml:space="preserve">FMEA Number: </t>
  </si>
  <si>
    <t>Component Designation</t>
  </si>
  <si>
    <t>VPPS
Level 4</t>
  </si>
  <si>
    <t>VPPS
Level 5</t>
  </si>
  <si>
    <t>VPPS
Level 1</t>
  </si>
  <si>
    <t>VPPS
Level 6</t>
  </si>
  <si>
    <t>A
Tensioner</t>
  </si>
  <si>
    <t xml:space="preserve">B
Belt </t>
  </si>
  <si>
    <t>D
 Water Pump Pulley</t>
  </si>
  <si>
    <t>C
Idlers</t>
  </si>
  <si>
    <t>E
Power Steering Pump Pulley</t>
  </si>
  <si>
    <t>F
Generator Bracket</t>
  </si>
  <si>
    <t>B
Belt</t>
  </si>
  <si>
    <t>G
Tensioner Bracket</t>
  </si>
  <si>
    <t>A3
Belt Install Tool</t>
  </si>
  <si>
    <t>B2
Front Cover</t>
  </si>
  <si>
    <t>B3
RH Engine Compartment Components</t>
  </si>
  <si>
    <t>D
Water Pump Pulley</t>
  </si>
  <si>
    <t>B4
A/C Compressor Pump Pulley</t>
  </si>
  <si>
    <t>B5
Generator Pulley</t>
  </si>
  <si>
    <t>B6
Crankshaft Pulley</t>
  </si>
  <si>
    <t>C1
Water Cross-Over Pipe</t>
  </si>
  <si>
    <t>D1
Water Pump Hub</t>
  </si>
  <si>
    <t>D2
Installation Tool</t>
  </si>
  <si>
    <t xml:space="preserve">E1
Power Steering Shaft </t>
  </si>
  <si>
    <t>F2
Intake Manifold</t>
  </si>
  <si>
    <t xml:space="preserve">F3
Generator </t>
  </si>
  <si>
    <t>F4
Fuel Rail</t>
  </si>
  <si>
    <t>F5
LH Cam Cover</t>
  </si>
  <si>
    <t>G1
Cylinder Block</t>
  </si>
  <si>
    <t>FaceID</t>
  </si>
  <si>
    <t>injured</t>
  </si>
  <si>
    <t>injury</t>
  </si>
  <si>
    <t>Last Row</t>
  </si>
  <si>
    <t>Connection Blank Label</t>
  </si>
  <si>
    <t># and Description - Connection</t>
  </si>
  <si>
    <t>Old one</t>
  </si>
  <si>
    <t>安全</t>
    <phoneticPr fontId="8" type="noConversion"/>
  </si>
  <si>
    <t>L1/L2:电池仓-/底座-</t>
  </si>
  <si>
    <t>L1:电池仓-</t>
  </si>
  <si>
    <t>L2:底座-</t>
  </si>
  <si>
    <t>L1/L5:电池仓-/电池包-</t>
  </si>
  <si>
    <t>L2/L4:底座-/电机-</t>
  </si>
  <si>
    <t>L4:电机-</t>
  </si>
  <si>
    <t>L1/L3:电池仓-/电池仓盖-</t>
  </si>
  <si>
    <t>L3:电池仓盖-</t>
  </si>
  <si>
    <t>L2/L6:底座-/DECK-</t>
  </si>
  <si>
    <t>L4/L7:电机-/电机ＰＣＢ-</t>
  </si>
  <si>
    <t>L1/L8:电池仓-/电源管理ＰＣＢ-</t>
  </si>
  <si>
    <t>L4/L9:电机-/刀片系统-</t>
  </si>
  <si>
    <t>L1/L4:电池仓-/电机-</t>
  </si>
  <si>
    <t>L1/L6:电池仓-/DECK-</t>
  </si>
  <si>
    <t>L1/L10:电池仓-/把手组件-</t>
  </si>
  <si>
    <t>S=严重性</t>
  </si>
  <si>
    <t>D=可探测性</t>
  </si>
  <si>
    <t>R=风险指数</t>
  </si>
  <si>
    <t>R=S x O x D</t>
  </si>
  <si>
    <t>2.很可能：当场探测错误，或者以多重探测原则在后续作业中探测错误</t>
  </si>
  <si>
    <t>3.有可能：仅能以间接或双重检查探测到</t>
  </si>
  <si>
    <t>4.不可能：仅能以间接或随机检查探测到</t>
  </si>
  <si>
    <t>5.几乎不可能：无法探测或没有检测</t>
  </si>
  <si>
    <t>版本履历</t>
    <phoneticPr fontId="29" type="noConversion"/>
  </si>
  <si>
    <r>
      <t xml:space="preserve">Date:              </t>
    </r>
    <r>
      <rPr>
        <sz val="10"/>
        <color theme="1"/>
        <rFont val="宋体"/>
        <family val="3"/>
        <charset val="134"/>
      </rPr>
      <t>日期</t>
    </r>
    <phoneticPr fontId="52" type="noConversion"/>
  </si>
  <si>
    <r>
      <t xml:space="preserve">File No.           
</t>
    </r>
    <r>
      <rPr>
        <sz val="10"/>
        <color theme="1"/>
        <rFont val="宋体"/>
        <family val="3"/>
        <charset val="134"/>
      </rPr>
      <t>文件编号</t>
    </r>
    <phoneticPr fontId="52" type="noConversion"/>
  </si>
  <si>
    <r>
      <t xml:space="preserve">Rev:                
</t>
    </r>
    <r>
      <rPr>
        <sz val="10"/>
        <color theme="1"/>
        <rFont val="宋体"/>
        <family val="3"/>
        <charset val="134"/>
      </rPr>
      <t>版本</t>
    </r>
    <phoneticPr fontId="52" type="noConversion"/>
  </si>
  <si>
    <r>
      <t xml:space="preserve">Page     of            
</t>
    </r>
    <r>
      <rPr>
        <sz val="12"/>
        <color theme="1"/>
        <rFont val="宋体"/>
        <family val="3"/>
        <charset val="134"/>
      </rPr>
      <t>第</t>
    </r>
    <r>
      <rPr>
        <sz val="12"/>
        <color theme="1"/>
        <rFont val="Times New Roman"/>
        <family val="1"/>
      </rPr>
      <t xml:space="preserve">  </t>
    </r>
    <r>
      <rPr>
        <sz val="12"/>
        <color theme="1"/>
        <rFont val="宋体"/>
        <family val="3"/>
        <charset val="134"/>
      </rPr>
      <t>页</t>
    </r>
    <r>
      <rPr>
        <sz val="12"/>
        <color theme="1"/>
        <rFont val="Times New Roman"/>
        <family val="1"/>
      </rPr>
      <t>/</t>
    </r>
    <r>
      <rPr>
        <sz val="12"/>
        <color theme="1"/>
        <rFont val="宋体"/>
        <family val="3"/>
        <charset val="134"/>
      </rPr>
      <t>共</t>
    </r>
    <r>
      <rPr>
        <sz val="12"/>
        <color theme="1"/>
        <rFont val="Times New Roman"/>
        <family val="1"/>
      </rPr>
      <t xml:space="preserve">  </t>
    </r>
    <r>
      <rPr>
        <sz val="12"/>
        <color theme="1"/>
        <rFont val="宋体"/>
        <family val="3"/>
        <charset val="134"/>
      </rPr>
      <t>页</t>
    </r>
    <phoneticPr fontId="52" type="noConversion"/>
  </si>
  <si>
    <t>无</t>
  </si>
  <si>
    <t>A/0</t>
    <phoneticPr fontId="52" type="noConversion"/>
  </si>
  <si>
    <t>过程检</t>
  </si>
  <si>
    <t>N/A</t>
  </si>
  <si>
    <t>完工检</t>
  </si>
  <si>
    <t>内包装</t>
  </si>
  <si>
    <r>
      <t>封口剥离强度≥</t>
    </r>
    <r>
      <rPr>
        <sz val="9"/>
        <rFont val="Arial"/>
        <family val="2"/>
      </rPr>
      <t>1.0 lbf/inch</t>
    </r>
  </si>
  <si>
    <t>外包装</t>
  </si>
  <si>
    <t>灭菌</t>
  </si>
  <si>
    <t>保证产品为无菌状态</t>
  </si>
  <si>
    <t>出厂检</t>
  </si>
  <si>
    <t>入库</t>
  </si>
  <si>
    <t>无</t>
    <phoneticPr fontId="29" type="noConversion"/>
  </si>
  <si>
    <t xml:space="preserve">
灭菌参数不正确</t>
    <phoneticPr fontId="29" type="noConversion"/>
  </si>
  <si>
    <t>目视全检</t>
  </si>
  <si>
    <t>目视全检              无菌测试</t>
  </si>
  <si>
    <t>目视全检</t>
    <phoneticPr fontId="29" type="noConversion"/>
  </si>
  <si>
    <t>过程名称</t>
    <phoneticPr fontId="29" type="noConversion"/>
  </si>
  <si>
    <t>功能要求</t>
    <phoneticPr fontId="29" type="noConversion"/>
  </si>
  <si>
    <t>潜在失效模式</t>
    <phoneticPr fontId="29" type="noConversion"/>
  </si>
  <si>
    <t>潜在失效后果</t>
    <phoneticPr fontId="29" type="noConversion"/>
  </si>
  <si>
    <t>潜在失效起因/机理</t>
    <phoneticPr fontId="29" type="noConversion"/>
  </si>
  <si>
    <t>探测度</t>
    <phoneticPr fontId="29" type="noConversion"/>
  </si>
  <si>
    <t>风险顺序数</t>
    <phoneticPr fontId="29" type="noConversion"/>
  </si>
  <si>
    <t>建议的纠正/预防措施</t>
    <phoneticPr fontId="29" type="noConversion"/>
  </si>
  <si>
    <t>责任部门</t>
    <phoneticPr fontId="29" type="noConversion"/>
  </si>
  <si>
    <t xml:space="preserve">改进后 </t>
    <phoneticPr fontId="29" type="noConversion"/>
  </si>
  <si>
    <t>S</t>
    <phoneticPr fontId="29" type="noConversion"/>
  </si>
  <si>
    <t>O</t>
    <phoneticPr fontId="29" type="noConversion"/>
  </si>
  <si>
    <t>预防</t>
    <phoneticPr fontId="29" type="noConversion"/>
  </si>
  <si>
    <t>探测</t>
    <phoneticPr fontId="29" type="noConversion"/>
  </si>
  <si>
    <t>D</t>
    <phoneticPr fontId="29" type="noConversion"/>
  </si>
  <si>
    <t>RPN</t>
    <phoneticPr fontId="29" type="noConversion"/>
  </si>
  <si>
    <r>
      <t xml:space="preserve">Date:        
</t>
    </r>
    <r>
      <rPr>
        <sz val="10"/>
        <color theme="1"/>
        <rFont val="宋体"/>
        <family val="3"/>
        <charset val="134"/>
      </rPr>
      <t>日期</t>
    </r>
    <phoneticPr fontId="52" type="noConversion"/>
  </si>
  <si>
    <t>现行过程控制</t>
    <phoneticPr fontId="29" type="noConversion"/>
  </si>
  <si>
    <t>RPN</t>
    <phoneticPr fontId="29" type="noConversion"/>
  </si>
  <si>
    <t>PCB板装配位置不正确</t>
    <phoneticPr fontId="29" type="noConversion"/>
  </si>
  <si>
    <r>
      <t xml:space="preserve">Page     of            
</t>
    </r>
    <r>
      <rPr>
        <sz val="12"/>
        <color theme="1"/>
        <rFont val="宋体"/>
        <family val="3"/>
        <charset val="134"/>
      </rPr>
      <t>第</t>
    </r>
    <r>
      <rPr>
        <sz val="12"/>
        <color theme="1"/>
        <rFont val="Times New Roman"/>
        <family val="1"/>
      </rPr>
      <t xml:space="preserve">  </t>
    </r>
    <r>
      <rPr>
        <sz val="12"/>
        <color theme="1"/>
        <rFont val="宋体"/>
        <family val="3"/>
        <charset val="134"/>
      </rPr>
      <t>页</t>
    </r>
    <r>
      <rPr>
        <sz val="12"/>
        <color theme="1"/>
        <rFont val="Times New Roman"/>
        <family val="1"/>
      </rPr>
      <t>/</t>
    </r>
    <r>
      <rPr>
        <sz val="12"/>
        <color theme="1"/>
        <rFont val="宋体"/>
        <family val="3"/>
        <charset val="134"/>
      </rPr>
      <t>共</t>
    </r>
    <r>
      <rPr>
        <sz val="12"/>
        <color theme="1"/>
        <rFont val="Times New Roman"/>
        <family val="1"/>
      </rPr>
      <t xml:space="preserve">  </t>
    </r>
    <r>
      <rPr>
        <sz val="12"/>
        <color theme="1"/>
        <rFont val="宋体"/>
        <family val="3"/>
        <charset val="134"/>
      </rPr>
      <t>页</t>
    </r>
    <phoneticPr fontId="52" type="noConversion"/>
  </si>
  <si>
    <t>序号</t>
    <phoneticPr fontId="29" type="noConversion"/>
  </si>
  <si>
    <t>潜在失效后果</t>
    <phoneticPr fontId="29" type="noConversion"/>
  </si>
  <si>
    <t>潜在失效起因/机理</t>
    <phoneticPr fontId="29" type="noConversion"/>
  </si>
  <si>
    <t>建议的纠正/预防措施</t>
    <phoneticPr fontId="29" type="noConversion"/>
  </si>
  <si>
    <t>S</t>
    <phoneticPr fontId="29" type="noConversion"/>
  </si>
  <si>
    <t>D</t>
    <phoneticPr fontId="29" type="noConversion"/>
  </si>
  <si>
    <t>措施实施</t>
    <phoneticPr fontId="29" type="noConversion"/>
  </si>
  <si>
    <t>文件未明确配件安装位置</t>
    <phoneticPr fontId="29" type="noConversion"/>
  </si>
  <si>
    <t>工艺明确配件安装位置，明确自检要求</t>
    <phoneticPr fontId="29" type="noConversion"/>
  </si>
  <si>
    <t>纸塑袋破损</t>
    <phoneticPr fontId="29" type="noConversion"/>
  </si>
  <si>
    <t>产品带菌，引起患者损伤</t>
    <phoneticPr fontId="29" type="noConversion"/>
  </si>
  <si>
    <t>设备参数不合适</t>
    <phoneticPr fontId="29" type="noConversion"/>
  </si>
  <si>
    <t>1、进行包装确认
2、建立完善的设备参数
每批进行首检确认</t>
    <phoneticPr fontId="29" type="noConversion"/>
  </si>
  <si>
    <t>包装方式错误</t>
    <phoneticPr fontId="29" type="noConversion"/>
  </si>
  <si>
    <t>最终检</t>
    <phoneticPr fontId="29" type="noConversion"/>
  </si>
  <si>
    <r>
      <t xml:space="preserve">Rev:                
</t>
    </r>
    <r>
      <rPr>
        <sz val="10"/>
        <color theme="1"/>
        <rFont val="宋体"/>
        <family val="3"/>
        <charset val="134"/>
      </rPr>
      <t>版本</t>
    </r>
    <phoneticPr fontId="52" type="noConversion"/>
  </si>
  <si>
    <t>O</t>
    <phoneticPr fontId="29" type="noConversion"/>
  </si>
  <si>
    <t>目视检查</t>
    <phoneticPr fontId="29" type="noConversion"/>
  </si>
  <si>
    <t>外箱标签、标识破损，不可正确识别</t>
    <phoneticPr fontId="29" type="noConversion"/>
  </si>
  <si>
    <t>3.中等的：下游工序中断或对产品性能有中度影响；产品性能下降，但能实现预期功能，可能造成病人受伤，但不需要专业的医疗介入。</t>
    <phoneticPr fontId="29" type="noConversion"/>
  </si>
  <si>
    <r>
      <t xml:space="preserve">File No.           
</t>
    </r>
    <r>
      <rPr>
        <sz val="10"/>
        <color theme="1"/>
        <rFont val="宋体"/>
        <family val="3"/>
        <charset val="134"/>
      </rPr>
      <t>文件编号</t>
    </r>
    <phoneticPr fontId="52" type="noConversion"/>
  </si>
  <si>
    <r>
      <t xml:space="preserve">Rev:                
</t>
    </r>
    <r>
      <rPr>
        <sz val="10"/>
        <color theme="1"/>
        <rFont val="宋体"/>
        <family val="3"/>
        <charset val="134"/>
      </rPr>
      <t>版本</t>
    </r>
    <phoneticPr fontId="52" type="noConversion"/>
  </si>
  <si>
    <t>序号</t>
    <phoneticPr fontId="29" type="noConversion"/>
  </si>
  <si>
    <t>潜在失效模式</t>
    <phoneticPr fontId="29" type="noConversion"/>
  </si>
  <si>
    <t>严重度</t>
    <phoneticPr fontId="29" type="noConversion"/>
  </si>
  <si>
    <t>频度</t>
    <phoneticPr fontId="29" type="noConversion"/>
  </si>
  <si>
    <t>现行过程控制</t>
    <phoneticPr fontId="29" type="noConversion"/>
  </si>
  <si>
    <t>探测度</t>
    <phoneticPr fontId="29" type="noConversion"/>
  </si>
  <si>
    <t>D</t>
    <phoneticPr fontId="29" type="noConversion"/>
  </si>
  <si>
    <t>措施实施</t>
    <phoneticPr fontId="29" type="noConversion"/>
  </si>
  <si>
    <t>RPN</t>
    <phoneticPr fontId="29" type="noConversion"/>
  </si>
  <si>
    <t>可视化研发部</t>
    <phoneticPr fontId="29" type="noConversion"/>
  </si>
  <si>
    <t>光学性能满足要求</t>
    <phoneticPr fontId="29" type="noConversion"/>
  </si>
  <si>
    <t>产品不能成像，或成像异常</t>
    <phoneticPr fontId="29" type="noConversion"/>
  </si>
  <si>
    <t>将焊接后的插接头连接图像测试工装，观察是否有图像、是否异常，目视全检</t>
    <phoneticPr fontId="29" type="noConversion"/>
  </si>
  <si>
    <t>关键工序</t>
    <phoneticPr fontId="29" type="noConversion"/>
  </si>
  <si>
    <t>编制网管、限位块与TYPC接通</t>
    <phoneticPr fontId="29" type="noConversion"/>
  </si>
  <si>
    <t>虚焊或热缩管未套紧</t>
    <phoneticPr fontId="29" type="noConversion"/>
  </si>
  <si>
    <t>输出视频信号不稳定</t>
    <phoneticPr fontId="29" type="noConversion"/>
  </si>
  <si>
    <t>出现虚焊现象</t>
    <phoneticPr fontId="29" type="noConversion"/>
  </si>
  <si>
    <t xml:space="preserve">下壳组件安装
</t>
    <phoneticPr fontId="29" type="noConversion"/>
  </si>
  <si>
    <t>无</t>
    <phoneticPr fontId="29" type="noConversion"/>
  </si>
  <si>
    <r>
      <t xml:space="preserve">File No.           
</t>
    </r>
    <r>
      <rPr>
        <sz val="10"/>
        <color theme="1"/>
        <rFont val="宋体"/>
        <family val="3"/>
        <charset val="134"/>
      </rPr>
      <t>文件编号</t>
    </r>
    <phoneticPr fontId="52" type="noConversion"/>
  </si>
  <si>
    <t>严重度</t>
    <phoneticPr fontId="29" type="noConversion"/>
  </si>
  <si>
    <t>频度</t>
    <phoneticPr fontId="29" type="noConversion"/>
  </si>
  <si>
    <t>现行过程控制</t>
    <phoneticPr fontId="29" type="noConversion"/>
  </si>
  <si>
    <t>建议的纠正/预防措施</t>
    <phoneticPr fontId="29" type="noConversion"/>
  </si>
  <si>
    <t xml:space="preserve">改进后 </t>
    <phoneticPr fontId="29" type="noConversion"/>
  </si>
  <si>
    <t>转轮组装</t>
    <phoneticPr fontId="29" type="noConversion"/>
  </si>
  <si>
    <t>产品性能下降，用户非常不满</t>
    <phoneticPr fontId="29" type="noConversion"/>
  </si>
  <si>
    <t>工艺未明确螺钉安装位置</t>
    <phoneticPr fontId="29" type="noConversion"/>
  </si>
  <si>
    <t>产品截图/冻结功能失效，用户非常不满</t>
    <phoneticPr fontId="29" type="noConversion"/>
  </si>
  <si>
    <t>工艺明确安装位置</t>
    <phoneticPr fontId="29" type="noConversion"/>
  </si>
  <si>
    <t>配件完整</t>
    <phoneticPr fontId="29" type="noConversion"/>
  </si>
  <si>
    <t>配件缺失</t>
    <phoneticPr fontId="29" type="noConversion"/>
  </si>
  <si>
    <t>产品功能下降，用户非常不满</t>
    <phoneticPr fontId="29" type="noConversion"/>
  </si>
  <si>
    <t>封口宽度不小于6mm</t>
    <phoneticPr fontId="29" type="noConversion"/>
  </si>
  <si>
    <t>按规定数量进行中盒和外箱的包装，并放入产品说明书</t>
    <phoneticPr fontId="29" type="noConversion"/>
  </si>
  <si>
    <t xml:space="preserve">说明书缺失   </t>
    <phoneticPr fontId="29" type="noConversion"/>
  </si>
  <si>
    <t>包装要求不明确</t>
    <phoneticPr fontId="29" type="noConversion"/>
  </si>
  <si>
    <t>明确工艺过程自检要求</t>
    <phoneticPr fontId="29" type="noConversion"/>
  </si>
  <si>
    <t>产品带菌</t>
    <phoneticPr fontId="29" type="noConversion"/>
  </si>
  <si>
    <t>引起患者损伤</t>
    <phoneticPr fontId="29" type="noConversion"/>
  </si>
  <si>
    <r>
      <t xml:space="preserve">File No.           
</t>
    </r>
    <r>
      <rPr>
        <sz val="10"/>
        <color theme="1"/>
        <rFont val="宋体"/>
        <family val="3"/>
        <charset val="134"/>
      </rPr>
      <t>文件编号</t>
    </r>
    <phoneticPr fontId="52" type="noConversion"/>
  </si>
  <si>
    <t>产品包装破损或不完整</t>
    <phoneticPr fontId="29" type="noConversion"/>
  </si>
  <si>
    <t>产品无法使用或部分性能下降、失效，客户不满意</t>
    <phoneticPr fontId="29" type="noConversion"/>
  </si>
  <si>
    <t>无法正确识别产品信息</t>
    <phoneticPr fontId="29" type="noConversion"/>
  </si>
  <si>
    <t>说明：PFMEA编制原则：</t>
    <phoneticPr fontId="29" type="noConversion"/>
  </si>
  <si>
    <t>O=频率</t>
    <phoneticPr fontId="29" type="noConversion"/>
  </si>
  <si>
    <t>1.可忽略的：对下游工序没有影响或产品性能影响可忽略；不会引起使用者抱怨，不会引起人员受伤，无财产和环境的损坏。</t>
    <phoneticPr fontId="29" type="noConversion"/>
  </si>
  <si>
    <t>1.基本能：设计采用了防错措施，不会产生有缺陷的零部件；</t>
    <phoneticPr fontId="29" type="noConversion"/>
  </si>
  <si>
    <t>2.轻度的：当前工序和下游工序受影响或对产品性能有轻微影响；性能有所下降，但能实现预期功能，可能引起操作者轻微抱怨，但不会造成人员受伤。</t>
    <phoneticPr fontId="29" type="noConversion"/>
  </si>
  <si>
    <t>4.严重的：导致严重停工，并造成严重经济损失，或对产品性能有严重影响；产品失去其预期用途功能，或造成病人受伤，需要专业的医疗介入；造成财产或环境的损坏。</t>
    <phoneticPr fontId="29" type="noConversion"/>
  </si>
  <si>
    <t>5.极其严重：导致产线关闭，操作人员受伤或对产品性能有极其严重影响；造成病人不可逆的损伤，如残疾或死亡</t>
    <phoneticPr fontId="29" type="noConversion"/>
  </si>
  <si>
    <t>产品正确入库</t>
    <phoneticPr fontId="29" type="noConversion"/>
  </si>
  <si>
    <t>入库规格错误</t>
    <phoneticPr fontId="29" type="noConversion"/>
  </si>
  <si>
    <t>对本道工序产生影响                         用户非常不满</t>
    <phoneticPr fontId="29" type="noConversion"/>
  </si>
  <si>
    <t>标签错误</t>
    <phoneticPr fontId="29" type="noConversion"/>
  </si>
  <si>
    <t>利用打码机进行入库</t>
    <phoneticPr fontId="29" type="noConversion"/>
  </si>
  <si>
    <t xml:space="preserve">运输或存储过程中产品包装完整
</t>
    <phoneticPr fontId="29" type="noConversion"/>
  </si>
  <si>
    <t>运输或存储过程中外箱标签、标识信息可以正确识别</t>
    <phoneticPr fontId="29" type="noConversion"/>
  </si>
  <si>
    <t>1</t>
    <phoneticPr fontId="29" type="noConversion"/>
  </si>
  <si>
    <t>2</t>
    <phoneticPr fontId="29" type="noConversion"/>
  </si>
  <si>
    <t>3</t>
    <phoneticPr fontId="29" type="noConversion"/>
  </si>
  <si>
    <t>4</t>
    <phoneticPr fontId="29" type="noConversion"/>
  </si>
  <si>
    <t>5</t>
    <phoneticPr fontId="29" type="noConversion"/>
  </si>
  <si>
    <t>6</t>
    <phoneticPr fontId="29" type="noConversion"/>
  </si>
  <si>
    <t>7</t>
    <phoneticPr fontId="29" type="noConversion"/>
  </si>
  <si>
    <t>8</t>
    <phoneticPr fontId="29" type="noConversion"/>
  </si>
  <si>
    <t>清洗</t>
    <phoneticPr fontId="29" type="noConversion"/>
  </si>
  <si>
    <t>散热片组装</t>
    <phoneticPr fontId="29" type="noConversion"/>
  </si>
  <si>
    <t>器械腔道变形</t>
    <phoneticPr fontId="29" type="noConversion"/>
  </si>
  <si>
    <t>器械无法顺利通过</t>
    <phoneticPr fontId="29" type="noConversion"/>
  </si>
  <si>
    <t>器械腔道与Y型三通连接处挤压变形</t>
    <phoneticPr fontId="29" type="noConversion"/>
  </si>
  <si>
    <t>安装时用对应规格的芯轴插入钳道管支撑</t>
    <phoneticPr fontId="29" type="noConversion"/>
  </si>
  <si>
    <t>安装后用对应规格导丝全检</t>
    <phoneticPr fontId="29" type="noConversion"/>
  </si>
  <si>
    <t>关键工序
特殊工序
进行清洗验证或清洗评估</t>
    <phoneticPr fontId="29" type="noConversion"/>
  </si>
  <si>
    <t>关键工序
特殊工序
进行铆接确认</t>
    <phoneticPr fontId="29" type="noConversion"/>
  </si>
  <si>
    <r>
      <t>关键工序
特殊工序
进行封口确认</t>
    </r>
    <r>
      <rPr>
        <sz val="9"/>
        <rFont val="Arial"/>
        <family val="2"/>
      </rPr>
      <t>/</t>
    </r>
    <r>
      <rPr>
        <sz val="9"/>
        <rFont val="宋体"/>
        <family val="3"/>
        <charset val="134"/>
      </rPr>
      <t>评估</t>
    </r>
    <phoneticPr fontId="29" type="noConversion"/>
  </si>
  <si>
    <r>
      <t>关键工序
特殊工序
进行灭菌确认</t>
    </r>
    <r>
      <rPr>
        <sz val="9"/>
        <rFont val="Arial"/>
        <family val="2"/>
      </rPr>
      <t>/</t>
    </r>
    <r>
      <rPr>
        <sz val="9"/>
        <rFont val="宋体"/>
        <family val="3"/>
        <charset val="134"/>
      </rPr>
      <t>评估</t>
    </r>
    <phoneticPr fontId="29" type="noConversion"/>
  </si>
  <si>
    <t>上壳手柄组装</t>
    <phoneticPr fontId="29" type="noConversion"/>
  </si>
  <si>
    <t>无</t>
    <phoneticPr fontId="29" type="noConversion"/>
  </si>
  <si>
    <t>1、固定管脱落
2、牵引丝未绷紧；3.蛇骨受压严重</t>
    <phoneticPr fontId="29" type="noConversion"/>
  </si>
  <si>
    <t>按键不能回弹</t>
    <phoneticPr fontId="29" type="noConversion"/>
  </si>
  <si>
    <t>工艺明确焊接线序、焊接后的检查方法，同时明确焊接操作</t>
    <phoneticPr fontId="29" type="noConversion"/>
  </si>
  <si>
    <t>文件未规定UV胶覆盖状态</t>
    <phoneticPr fontId="29" type="noConversion"/>
  </si>
  <si>
    <t>目视全检，并手触UV胶覆盖处不发粘</t>
    <phoneticPr fontId="29" type="noConversion"/>
  </si>
  <si>
    <r>
      <t>1.牵引丝与固定头连接力≥</t>
    </r>
    <r>
      <rPr>
        <sz val="9"/>
        <rFont val="Arial"/>
        <family val="2"/>
      </rPr>
      <t>15N
2.</t>
    </r>
    <r>
      <rPr>
        <sz val="9"/>
        <rFont val="宋体"/>
        <family val="3"/>
        <charset val="134"/>
      </rPr>
      <t xml:space="preserve">转向无空行程；3.中位情况下外包覆层无严重褶皱（保证相应规格的量具测量满足要求）
</t>
    </r>
    <r>
      <rPr>
        <sz val="9"/>
        <color theme="1"/>
        <rFont val="宋体"/>
        <family val="3"/>
        <charset val="134"/>
      </rPr>
      <t>4、转向方向正确，角度合格</t>
    </r>
    <phoneticPr fontId="29" type="noConversion"/>
  </si>
  <si>
    <t>工艺明确UV胶覆盖要求，选用合理的固化参数</t>
    <phoneticPr fontId="29" type="noConversion"/>
  </si>
  <si>
    <r>
      <t>焊接处无</t>
    </r>
    <r>
      <rPr>
        <sz val="9"/>
        <color theme="1"/>
        <rFont val="Arial"/>
        <family val="2"/>
      </rPr>
      <t>UV</t>
    </r>
    <r>
      <rPr>
        <sz val="9"/>
        <color theme="1"/>
        <rFont val="宋体"/>
        <family val="3"/>
        <charset val="134"/>
      </rPr>
      <t>胶覆盖或覆盖量很少
UV胶未固化</t>
    </r>
    <phoneticPr fontId="29" type="noConversion"/>
  </si>
  <si>
    <r>
      <t>模组</t>
    </r>
    <r>
      <rPr>
        <sz val="9"/>
        <rFont val="宋体"/>
        <family val="3"/>
        <charset val="134"/>
      </rPr>
      <t>地线焊接</t>
    </r>
    <phoneticPr fontId="29" type="noConversion"/>
  </si>
  <si>
    <t>手柄不能控制远端软头上下转动</t>
    <phoneticPr fontId="29" type="noConversion"/>
  </si>
  <si>
    <t>上下壳间隙过大</t>
    <phoneticPr fontId="29" type="noConversion"/>
  </si>
  <si>
    <t>客户不满意</t>
    <phoneticPr fontId="29" type="noConversion"/>
  </si>
  <si>
    <t>上壳未安装到位</t>
    <phoneticPr fontId="29" type="noConversion"/>
  </si>
  <si>
    <t>工艺增加自检</t>
    <phoneticPr fontId="29" type="noConversion"/>
  </si>
  <si>
    <t>连接成像控制器，确认冻结/截图功能是否正常</t>
    <phoneticPr fontId="29" type="noConversion"/>
  </si>
  <si>
    <t>目视配件是否齐全</t>
    <phoneticPr fontId="29" type="noConversion"/>
  </si>
  <si>
    <t>目视全检螺钉是否埋入拨杆，并转动手轮检查</t>
    <phoneticPr fontId="29" type="noConversion"/>
  </si>
  <si>
    <t>增加自检：轻拉不脱落，热缩护套管覆盖焊接位置且无滑动</t>
    <phoneticPr fontId="29" type="noConversion"/>
  </si>
  <si>
    <t>全检焊接位置是否全覆盖，热缩管不滑动，轻拉不脱落</t>
    <phoneticPr fontId="29" type="noConversion"/>
  </si>
  <si>
    <t>1.安装后确认集束管台阶面是否与散热片端面贴合；
2.LED安装前检查灯粉无脱落/不亮现象，安装过程中避免接触灯粉位置3.安装前确认螺纹要拧紧</t>
    <phoneticPr fontId="29" type="noConversion"/>
  </si>
  <si>
    <t>螺钉未安装到位</t>
    <phoneticPr fontId="29" type="noConversion"/>
  </si>
  <si>
    <t>1.目视全检；
2.连接成像控制器，确认LED灯板发光是否正常；
3.检查灯板，螺钉有无晃动</t>
    <phoneticPr fontId="29" type="noConversion"/>
  </si>
  <si>
    <t>1.通过验证选取合适的参数，并要求每次启动时进行核对、点检
2和3设计专用工装 
4.安装反向螺母直到扳手拧不动为止</t>
    <phoneticPr fontId="29" type="noConversion"/>
  </si>
  <si>
    <r>
      <t>1</t>
    </r>
    <r>
      <rPr>
        <sz val="9"/>
        <rFont val="宋体"/>
        <family val="3"/>
        <charset val="134"/>
      </rPr>
      <t>、可能导致病人感染</t>
    </r>
    <phoneticPr fontId="29" type="noConversion"/>
  </si>
  <si>
    <t>1.集束管未安装到底；    
2.LED安装时受损
3.螺纹松动</t>
    <phoneticPr fontId="29" type="noConversion"/>
  </si>
  <si>
    <t>1.集束管未到达指定位置；
2.LED灯损坏
3.LED松动</t>
    <phoneticPr fontId="29" type="noConversion"/>
  </si>
  <si>
    <r>
      <t xml:space="preserve">
1.</t>
    </r>
    <r>
      <rPr>
        <sz val="9"/>
        <rFont val="宋体"/>
        <family val="3"/>
        <charset val="134"/>
      </rPr>
      <t xml:space="preserve">清洗烘干后的物料表面干净，光洁，无残留杂质，无水渍
</t>
    </r>
    <r>
      <rPr>
        <sz val="9"/>
        <rFont val="Times New Roman"/>
        <family val="1"/>
      </rPr>
      <t>2.</t>
    </r>
    <r>
      <rPr>
        <sz val="9"/>
        <rFont val="宋体"/>
        <family val="3"/>
        <charset val="134"/>
      </rPr>
      <t xml:space="preserve">初始污染菌符合要求
</t>
    </r>
    <r>
      <rPr>
        <sz val="9"/>
        <rFont val="Times New Roman"/>
        <family val="1"/>
      </rPr>
      <t>3.</t>
    </r>
    <r>
      <rPr>
        <sz val="9"/>
        <rFont val="宋体"/>
        <family val="3"/>
        <charset val="134"/>
      </rPr>
      <t>清洗后的纯化水电导率、PH、TOC符合纯化水标准</t>
    </r>
    <phoneticPr fontId="29" type="noConversion"/>
  </si>
  <si>
    <r>
      <t>1.</t>
    </r>
    <r>
      <rPr>
        <sz val="9"/>
        <rFont val="宋体"/>
        <family val="3"/>
        <charset val="134"/>
      </rPr>
      <t xml:space="preserve">表面有杂质或水渍残留
</t>
    </r>
    <r>
      <rPr>
        <sz val="9"/>
        <rFont val="Times New Roman"/>
        <family val="1"/>
      </rPr>
      <t>2.</t>
    </r>
    <r>
      <rPr>
        <sz val="9"/>
        <rFont val="宋体"/>
        <family val="3"/>
        <charset val="134"/>
      </rPr>
      <t>初始污染菌超标</t>
    </r>
    <phoneticPr fontId="29" type="noConversion"/>
  </si>
  <si>
    <r>
      <t>1.</t>
    </r>
    <r>
      <rPr>
        <sz val="9"/>
        <rFont val="宋体"/>
        <family val="3"/>
        <charset val="134"/>
      </rPr>
      <t xml:space="preserve">清洗设备损坏，导致清洗效果下降
</t>
    </r>
    <r>
      <rPr>
        <sz val="9"/>
        <rFont val="Times New Roman"/>
        <family val="1"/>
      </rPr>
      <t>2.</t>
    </r>
    <r>
      <rPr>
        <sz val="9"/>
        <rFont val="宋体"/>
        <family val="3"/>
        <charset val="134"/>
      </rPr>
      <t xml:space="preserve">一次清洗的物料超出规定的数量
</t>
    </r>
    <r>
      <rPr>
        <sz val="9"/>
        <rFont val="Times New Roman"/>
        <family val="1"/>
      </rPr>
      <t>3.</t>
    </r>
    <r>
      <rPr>
        <sz val="9"/>
        <rFont val="宋体"/>
        <family val="3"/>
        <charset val="134"/>
      </rPr>
      <t>清洗参数不合理</t>
    </r>
    <phoneticPr fontId="29" type="noConversion"/>
  </si>
  <si>
    <r>
      <t>1.</t>
    </r>
    <r>
      <rPr>
        <sz val="9"/>
        <rFont val="宋体"/>
        <family val="3"/>
        <charset val="134"/>
      </rPr>
      <t xml:space="preserve">设备使用前进行点检
</t>
    </r>
    <r>
      <rPr>
        <sz val="9"/>
        <rFont val="Times New Roman"/>
        <family val="1"/>
      </rPr>
      <t>2.</t>
    </r>
    <r>
      <rPr>
        <sz val="9"/>
        <rFont val="宋体"/>
        <family val="3"/>
        <charset val="134"/>
      </rPr>
      <t xml:space="preserve">工艺规程中明确最大清洗数量
</t>
    </r>
    <r>
      <rPr>
        <sz val="9"/>
        <rFont val="Times New Roman"/>
        <family val="1"/>
      </rPr>
      <t>3.</t>
    </r>
    <r>
      <rPr>
        <sz val="9"/>
        <rFont val="宋体"/>
        <family val="3"/>
        <charset val="134"/>
      </rPr>
      <t>工艺规程中明确清洗参数及注意事项</t>
    </r>
    <phoneticPr fontId="29" type="noConversion"/>
  </si>
  <si>
    <r>
      <t>1.</t>
    </r>
    <r>
      <rPr>
        <sz val="9"/>
        <rFont val="宋体"/>
        <family val="3"/>
        <charset val="134"/>
      </rPr>
      <t xml:space="preserve">目视外观；使用无尘布擦拭，观察无尘布有无脏污
</t>
    </r>
    <r>
      <rPr>
        <sz val="9"/>
        <rFont val="Times New Roman"/>
        <family val="1"/>
      </rPr>
      <t>2.</t>
    </r>
    <r>
      <rPr>
        <sz val="9"/>
        <rFont val="宋体"/>
        <family val="3"/>
        <charset val="134"/>
      </rPr>
      <t>在清洗确认中展开酸碱度检测和初始污染菌检测。</t>
    </r>
    <phoneticPr fontId="29" type="noConversion"/>
  </si>
  <si>
    <t>1.光通量无法满足；
2.LED不亮或者灯光颜色不正常</t>
    <phoneticPr fontId="29" type="noConversion"/>
  </si>
  <si>
    <t>1.产品能正常显示图像
2.模组线焊接处UV胶覆盖完全</t>
    <phoneticPr fontId="29" type="noConversion"/>
  </si>
  <si>
    <t>1.下道工序中断       2.产品不能成像，用户非常不满</t>
    <phoneticPr fontId="29" type="noConversion"/>
  </si>
  <si>
    <t xml:space="preserve">
1.镜头线焊接有虚焊，焊接线序错误，焊接手法不明确
2.剥线损伤线芯</t>
    <phoneticPr fontId="29" type="noConversion"/>
  </si>
  <si>
    <t>1.下道工序中断       2.产品转向功能失效，用户非常不满；3.弯曲部外径超差。</t>
    <phoneticPr fontId="29" type="noConversion"/>
  </si>
  <si>
    <t>1.铆接直径不对或者无按压到位；
2.张紧螺钉盘的牵引丝过少；
3.张紧螺钉盘的牵引丝过多；
4.反向螺母未拧紧</t>
    <phoneticPr fontId="29" type="noConversion"/>
  </si>
  <si>
    <t xml:space="preserve">
1.每次使用前点检铆接钳的铆接直径
2.使用拉力机测试固定管和牵引丝的首件拉力
3.确认反向螺母是否锁紧</t>
    <phoneticPr fontId="29" type="noConversion"/>
  </si>
  <si>
    <t>1.下道工序中断     2.用户非常不满</t>
    <phoneticPr fontId="29" type="noConversion"/>
  </si>
  <si>
    <t>1.目视全检包装有无破损
2.使用拉力机测试包装的首件拉力</t>
    <phoneticPr fontId="29" type="noConversion"/>
  </si>
  <si>
    <t>1.进行灭菌确认
2.对每个灭菌批产品进行BI检测，同时对灭菌批记录进行核对，外包和内包全数贴灭菌标签预防遗漏</t>
    <phoneticPr fontId="29" type="noConversion"/>
  </si>
  <si>
    <t>1.转运过程中轻拿轻放
2.转运过程中使用托盘转运
3.对存储环境进行日常点检</t>
    <phoneticPr fontId="29" type="noConversion"/>
  </si>
  <si>
    <t>1.暴力作业，包装被摔破或挤压
2.产品转运过程中磕碰或掉落，有尖锐物品划伤
3.存储环境不符合产品设计要求</t>
    <phoneticPr fontId="29" type="noConversion"/>
  </si>
  <si>
    <t>1.器械钳道能通过对应规格导丝
2.吸引阀工作正常，吸引，注液不泄露
3.液路管连接的阀体、吸引管、Y型三通安装位置正确
4.成像导管相对手柄不转动</t>
    <phoneticPr fontId="29" type="noConversion"/>
  </si>
  <si>
    <t>1.吸引和注液时泄漏
2.液路管扭曲严重，影响吸液量
3.成像导管在手柄上松动，可转动</t>
    <phoneticPr fontId="29" type="noConversion"/>
  </si>
  <si>
    <t>1.可能导致病人感染
2.吸引功能下降
3.手柄与成像导管旋转同步性不好</t>
    <phoneticPr fontId="29" type="noConversion"/>
  </si>
  <si>
    <t>1.胶水未涂到位，或固化参数不合理
2.液路管两侧零件安装相对位置不正确，液路管长度过长
3.压板未压紧</t>
    <phoneticPr fontId="29" type="noConversion"/>
  </si>
  <si>
    <t>1.气密性检测
2.目视液路管有无严重扭曲弯折现象
3.安装前用钢尺确认液路管尺寸
4.轻微转动导管，确认导管相对手柄不转动</t>
    <phoneticPr fontId="29" type="noConversion"/>
  </si>
  <si>
    <t>无</t>
    <phoneticPr fontId="29" type="noConversion"/>
  </si>
  <si>
    <t>1.固化后确认胶水是否整圈涂覆上去，选用合理的固化参数
2.明确液路管两侧零件的方向，制定合理液路管的尺寸
3.螺钉安装至旋不动为止，并在导管与压板贴合端面涂UV胶固化</t>
    <phoneticPr fontId="29" type="noConversion"/>
  </si>
  <si>
    <t>G06001</t>
    <phoneticPr fontId="29" type="noConversion"/>
  </si>
  <si>
    <t>EUG06001</t>
  </si>
  <si>
    <t>≥2.5</t>
  </si>
  <si>
    <t>600±15</t>
  </si>
  <si>
    <t>≤5.4</t>
    <phoneticPr fontId="29" type="noConversion"/>
  </si>
  <si>
    <t>4.7±0.2</t>
    <phoneticPr fontId="29" type="noConversion"/>
  </si>
  <si>
    <t>G06002</t>
    <phoneticPr fontId="29" type="noConversion"/>
  </si>
  <si>
    <t>EUG06002</t>
  </si>
  <si>
    <t>≥2.2</t>
  </si>
  <si>
    <t>≤4.4</t>
    <phoneticPr fontId="29" type="noConversion"/>
  </si>
  <si>
    <t>3.9±0.2</t>
    <phoneticPr fontId="29" type="noConversion"/>
  </si>
  <si>
    <t>G06003</t>
    <phoneticPr fontId="29" type="noConversion"/>
  </si>
  <si>
    <t>EUG06003</t>
  </si>
  <si>
    <t>400±10</t>
  </si>
  <si>
    <t>G06004</t>
    <phoneticPr fontId="29" type="noConversion"/>
  </si>
  <si>
    <t>EUG06004</t>
  </si>
  <si>
    <t>≥2.8</t>
  </si>
  <si>
    <t>≤5.6</t>
    <phoneticPr fontId="29" type="noConversion"/>
  </si>
  <si>
    <t>5.0±0.2</t>
    <phoneticPr fontId="29" type="noConversion"/>
  </si>
  <si>
    <t>G06005</t>
    <phoneticPr fontId="29" type="noConversion"/>
  </si>
  <si>
    <t>EUG06005</t>
  </si>
  <si>
    <t>G06006</t>
    <phoneticPr fontId="29" type="noConversion"/>
  </si>
  <si>
    <t>EUG06006</t>
  </si>
  <si>
    <t>≥1.2</t>
  </si>
  <si>
    <t>≤3.2</t>
    <phoneticPr fontId="29" type="noConversion"/>
  </si>
  <si>
    <t>2.8±0.2</t>
    <phoneticPr fontId="29" type="noConversion"/>
  </si>
  <si>
    <t>G06007</t>
    <phoneticPr fontId="29" type="noConversion"/>
  </si>
  <si>
    <t>EUG06007</t>
  </si>
  <si>
    <t>G06008</t>
    <phoneticPr fontId="29" type="noConversion"/>
  </si>
  <si>
    <t>EUG06008</t>
  </si>
  <si>
    <t>G06009</t>
    <phoneticPr fontId="29" type="noConversion"/>
  </si>
  <si>
    <t>EUG06009</t>
  </si>
  <si>
    <t>G06010</t>
    <phoneticPr fontId="29" type="noConversion"/>
  </si>
  <si>
    <t>EUG06010</t>
  </si>
  <si>
    <t>G06011</t>
    <phoneticPr fontId="29" type="noConversion"/>
  </si>
  <si>
    <t>EUG06011</t>
  </si>
  <si>
    <t>G06012</t>
    <phoneticPr fontId="29" type="noConversion"/>
  </si>
  <si>
    <t>EUG06012</t>
  </si>
  <si>
    <t>G06013</t>
    <phoneticPr fontId="29" type="noConversion"/>
  </si>
  <si>
    <t>EUG06013</t>
  </si>
  <si>
    <t>G06014</t>
    <phoneticPr fontId="29" type="noConversion"/>
  </si>
  <si>
    <t>EUG06014</t>
  </si>
  <si>
    <t>G06015</t>
    <phoneticPr fontId="29" type="noConversion"/>
  </si>
  <si>
    <t>EUG06015</t>
  </si>
  <si>
    <t>G06016</t>
    <phoneticPr fontId="29" type="noConversion"/>
  </si>
  <si>
    <t>EUG06016</t>
  </si>
  <si>
    <t xml:space="preserve">Rev:                </t>
    <phoneticPr fontId="52" type="noConversion"/>
  </si>
  <si>
    <t xml:space="preserve">File No.           </t>
    <phoneticPr fontId="52" type="noConversion"/>
  </si>
  <si>
    <r>
      <t xml:space="preserve">Page     of            
</t>
    </r>
    <r>
      <rPr>
        <sz val="12"/>
        <color theme="1"/>
        <rFont val="宋体"/>
        <family val="3"/>
        <charset val="134"/>
      </rPr>
      <t/>
    </r>
    <phoneticPr fontId="52" type="noConversion"/>
  </si>
  <si>
    <t>S</t>
    <phoneticPr fontId="29" type="noConversion"/>
  </si>
  <si>
    <t>O</t>
    <phoneticPr fontId="29" type="noConversion"/>
  </si>
  <si>
    <t>O</t>
    <phoneticPr fontId="29" type="noConversion"/>
  </si>
  <si>
    <t>RPN</t>
    <phoneticPr fontId="29" type="noConversion"/>
  </si>
  <si>
    <t>N0.</t>
    <phoneticPr fontId="29" type="noConversion"/>
  </si>
  <si>
    <t>Potential Effect of Failure</t>
    <phoneticPr fontId="29" type="noConversion"/>
  </si>
  <si>
    <t>severity</t>
    <phoneticPr fontId="29" type="noConversion"/>
  </si>
  <si>
    <t>Potential failure causes/mechanisms</t>
    <phoneticPr fontId="29" type="noConversion"/>
  </si>
  <si>
    <t>frequency</t>
    <phoneticPr fontId="29" type="noConversion"/>
  </si>
  <si>
    <t>Current process control</t>
    <phoneticPr fontId="29" type="noConversion"/>
  </si>
  <si>
    <t>detectivity</t>
    <phoneticPr fontId="29" type="noConversion"/>
  </si>
  <si>
    <t>Risk order number</t>
    <phoneticPr fontId="29" type="noConversion"/>
  </si>
  <si>
    <t>Suggested corrective/preventive measures</t>
    <phoneticPr fontId="29" type="noConversion"/>
  </si>
  <si>
    <t>Dept.</t>
    <phoneticPr fontId="29" type="noConversion"/>
  </si>
  <si>
    <t xml:space="preserve"> Improved</t>
    <phoneticPr fontId="29" type="noConversion"/>
  </si>
  <si>
    <t>Implementation of measures</t>
    <phoneticPr fontId="29" type="noConversion"/>
  </si>
  <si>
    <t xml:space="preserve">
1. The surface of the material after washing and drying is clean, smooth, without residual impurities, no water stains
2. The initial contamination bacteria meet the requirements
3. Conductivity, PH, TOC of purified water after cleaning meets the standard of purified water.</t>
    <phoneticPr fontId="29" type="noConversion"/>
  </si>
  <si>
    <t>1. Surface with impurities or water residue
2. Initial contamination bacteria exceed the standard</t>
    <phoneticPr fontId="29" type="noConversion"/>
  </si>
  <si>
    <t>1. May lead to patient infections</t>
    <phoneticPr fontId="29" type="noConversion"/>
  </si>
  <si>
    <t>1. Cleaning equipment damage, resulting in reduced cleaning effect
2. A cleaning material exceeds the specified quantity
3. Cleaning parameters are not reasonable</t>
    <phoneticPr fontId="29" type="noConversion"/>
  </si>
  <si>
    <t>1. Point inspection before the use of equipment
2. Specify the maximum number of cleaning in the process regulations
3. Clear cleaning parameters and precautions in the process regulations</t>
    <phoneticPr fontId="29" type="noConversion"/>
  </si>
  <si>
    <t>1. Visualize the appearance; use a dust-free cloth to wipe and observe whether the dust-free cloth is dirty or not
2. Expand the acidity and alkalinity test and initial contamination bacteria test in the cleaning confirmation.</t>
    <phoneticPr fontId="29" type="noConversion"/>
  </si>
  <si>
    <t>Critical Processes
Specialized processes
Perform cleaning validation or cleaning assessment</t>
    <phoneticPr fontId="29" type="noConversion"/>
  </si>
  <si>
    <t>1. The cluster tube does not reach the designated position;
2.LED is damaged
3.LED loose</t>
    <phoneticPr fontId="29" type="noConversion"/>
  </si>
  <si>
    <t>1. Luminous flux cannot be satisfied;
2.LED does not light up or the light color is not normal</t>
    <phoneticPr fontId="29" type="noConversion"/>
  </si>
  <si>
    <t>1. The cluster tube is not installed to the bottom;    
2.LED damaged during installation
3. Loose threads</t>
    <phoneticPr fontId="29" type="noConversion"/>
  </si>
  <si>
    <t>1. After installation, make sure that the step surface of the cluster tube fits the end surface of the heat sink;
2. Check that the lamp powder does not fall off/not bright before LED installation, and avoid contacting the lamp powder position during installation 3. Confirm that the threads should be tightened before installation</t>
    <phoneticPr fontId="29" type="noConversion"/>
  </si>
  <si>
    <t>1. Visualize the whole inspection;
2. Connect the imaging controller to confirm that the LED light board emits light normally;
3. Check the light board, screws with or without shaking</t>
    <phoneticPr fontId="29" type="noConversion"/>
  </si>
  <si>
    <t>1.The product can display the image normally
2.The UV adhesive covers the welding of the module line completely.</t>
    <phoneticPr fontId="29" type="noConversion"/>
  </si>
  <si>
    <t>Product cannot be imaged, or is imaged abnormally</t>
    <phoneticPr fontId="29" type="noConversion"/>
  </si>
  <si>
    <t>No or very little UV adhesive coverage on the weld.
UV adhesive not cured</t>
    <phoneticPr fontId="29" type="noConversion"/>
  </si>
  <si>
    <t>1. the next process is interrupted    2. the product cannot be imaged and the user is very dissatisfied</t>
    <phoneticPr fontId="29" type="noConversion"/>
  </si>
  <si>
    <t xml:space="preserve">
1. Lens wire welding with false welding, welding line sequence error, welding method is not clear
2. Stripping damage to the core</t>
    <phoneticPr fontId="29" type="noConversion"/>
  </si>
  <si>
    <t>Documentation does not specify UV adhesive coverage status</t>
    <phoneticPr fontId="29" type="noConversion"/>
  </si>
  <si>
    <t>The process specifies the welding line sequence, the inspection method after welding, and also specifies the welding operation.</t>
    <phoneticPr fontId="29" type="noConversion"/>
  </si>
  <si>
    <t>Connect the welded plug connector to the image test tooling, observe whether there is an image, whether there is any abnormality, visual full inspection</t>
    <phoneticPr fontId="29" type="noConversion"/>
  </si>
  <si>
    <t>Key processes</t>
    <phoneticPr fontId="29" type="noConversion"/>
  </si>
  <si>
    <t>Process clear UV adhesive coverage requirements, the selection of reasonable curing parameters</t>
    <phoneticPr fontId="29" type="noConversion"/>
  </si>
  <si>
    <t>Visual inspection and hand-touching of the UV adhesive cover for non-stickiness</t>
    <phoneticPr fontId="29" type="noConversion"/>
  </si>
  <si>
    <t>none</t>
    <phoneticPr fontId="29" type="noConversion"/>
  </si>
  <si>
    <t>none</t>
    <phoneticPr fontId="29" type="noConversion"/>
  </si>
  <si>
    <t>Preparation of reticule, limit block and TYPC connection</t>
    <phoneticPr fontId="29" type="noConversion"/>
  </si>
  <si>
    <t>False soldering or heat shrink tubing not tightened</t>
    <phoneticPr fontId="29" type="noConversion"/>
  </si>
  <si>
    <t>Unstable output video signal</t>
    <phoneticPr fontId="29" type="noConversion"/>
  </si>
  <si>
    <t>Void soldering occurs</t>
    <phoneticPr fontId="29" type="noConversion"/>
  </si>
  <si>
    <t>Increased self-testing: light pulling does not detach, heat-shrinkable tubing covers the weld position without slipping</t>
    <phoneticPr fontId="29" type="noConversion"/>
  </si>
  <si>
    <t>Full inspection of the welding position for full coverage, heat shrink tubing does not slide, light pull does not fall off</t>
    <phoneticPr fontId="29" type="noConversion"/>
  </si>
  <si>
    <t>1. The instrument clamp channel can pass through the corresponding specification guidewire.
2. The suction valve is working properly, and there is no leakage of suction and liquid injection.
3. The valve body, suction tube and Y-type tee connected to the liquid line are installed in the correct position.
4. The imaging catheter does not rotate relative to the handle.</t>
    <phoneticPr fontId="29" type="noConversion"/>
  </si>
  <si>
    <t>Instrument lumen deformation</t>
    <phoneticPr fontId="29" type="noConversion"/>
  </si>
  <si>
    <t>The instruments can't get through.</t>
    <phoneticPr fontId="29" type="noConversion"/>
  </si>
  <si>
    <t>Extruded deformation of instrument lumen and Y-type tee connection</t>
    <phoneticPr fontId="29" type="noConversion"/>
  </si>
  <si>
    <t>When installing, insert an arbor of the corresponding size into the support of the clamp pipe.</t>
    <phoneticPr fontId="29" type="noConversion"/>
  </si>
  <si>
    <t>Full inspection with corresponding specification guidewire after installation</t>
    <phoneticPr fontId="29" type="noConversion"/>
  </si>
  <si>
    <t>1. May lead to patient infection
2. Decreased suction function
3. Poor synchronization of handle and imaging catheter rotation</t>
    <phoneticPr fontId="29" type="noConversion"/>
  </si>
  <si>
    <t>1. The glue is not coated in place, or the curing parameters are unreasonable.
2. The relative positions of the parts installed on both sides of the liquid line pipe are not correct, and the length of the liquid line pipe is too long.
3. Pressure plate is not pressed tightly</t>
    <phoneticPr fontId="29" type="noConversion"/>
  </si>
  <si>
    <t>1. After curing, make sure the glue is coated on the whole circle, and choose reasonable curing parameters.
2. Clearly define the direction of the parts on both sides of the liquid line pipe, and make reasonable size of the liquid line pipe.
3. Install the screws until they do not move, and apply UV adhesive to the end surface of the tube and the pressure plate for curing.</t>
    <phoneticPr fontId="29" type="noConversion"/>
  </si>
  <si>
    <t>1. Gas tightness test
2. Visual inspection of the liquid line pipe for serious twisting and bending phenomenon
3. Confirm the size of the liquid line pipe with a steel ruler before installation.
4. Slightly rotate the tube to make sure that the tube does not rotate relative to the handle.</t>
    <phoneticPr fontId="29" type="noConversion"/>
  </si>
  <si>
    <t>1. The fixation tube is dislodged
2. Traction wire not taut; 3. Serpentine bone severely compressed</t>
    <phoneticPr fontId="29" type="noConversion"/>
  </si>
  <si>
    <t>1. Interruption of the next process 2. Failure of the steering function of the product, the user is very dissatisfied; 3. Bending part of the outer diameter exceeds the difference.</t>
    <phoneticPr fontId="29" type="noConversion"/>
  </si>
  <si>
    <t>1. Incorrect riveting diameter or no press in place;
2. Too few traction wires in the tensioning screw disk;
3. Too much traction wire on the tensioning screw disk;
4. The reverse nut is not tightened.</t>
    <phoneticPr fontId="29" type="noConversion"/>
  </si>
  <si>
    <t>1. Select the appropriate parameters through verification and require checking and spot-checking at each startup
2 and 3 design special tooling 
4. Installation of the reverse nut until the wrench is not able to unscrew it.</t>
    <phoneticPr fontId="29" type="noConversion"/>
  </si>
  <si>
    <t xml:space="preserve">
1. Check the riveting diameter of riveting pliers before each use.
2. Use the tension machine to test the first piece of tension of the fixed tube and traction wire
3. Make sure the reverse nut is locked.</t>
    <phoneticPr fontId="29" type="noConversion"/>
  </si>
  <si>
    <t>Critical Processes
Special Processes
Confirmation of riveting</t>
    <phoneticPr fontId="29" type="noConversion"/>
  </si>
  <si>
    <t>Visualization R&amp;D Department</t>
    <phoneticPr fontId="29" type="noConversion"/>
  </si>
  <si>
    <t>Visualization R&amp;D Department</t>
    <phoneticPr fontId="29" type="noConversion"/>
  </si>
  <si>
    <t>Handle does not control up and down rotation of the distal soft head</t>
    <phoneticPr fontId="29" type="noConversion"/>
  </si>
  <si>
    <t>Buttons don't return</t>
    <phoneticPr fontId="29" type="noConversion"/>
  </si>
  <si>
    <t>Excessive clearance between upper and lower housing</t>
    <phoneticPr fontId="29" type="noConversion"/>
  </si>
  <si>
    <t>Customer dissatisfaction</t>
    <phoneticPr fontId="29" type="noConversion"/>
  </si>
  <si>
    <t>Product screenshot/freeze function not working, users very upset</t>
    <phoneticPr fontId="29" type="noConversion"/>
  </si>
  <si>
    <t>Product performance degradation, users are very dissatisfied</t>
    <phoneticPr fontId="29" type="noConversion"/>
  </si>
  <si>
    <t>Screws not in place</t>
    <phoneticPr fontId="29" type="noConversion"/>
  </si>
  <si>
    <t>Process does not specify screw mounting locations</t>
    <phoneticPr fontId="29" type="noConversion"/>
  </si>
  <si>
    <t>Visually check that the full inspection screws are buried in the toggle and turn the handwheel to check</t>
    <phoneticPr fontId="29" type="noConversion"/>
  </si>
  <si>
    <t>Incorrect PCB board assembly position</t>
    <phoneticPr fontId="29" type="noConversion"/>
  </si>
  <si>
    <t>Upper housing not in place</t>
    <phoneticPr fontId="29" type="noConversion"/>
  </si>
  <si>
    <t>The process specifies the location of the installation</t>
    <phoneticPr fontId="29" type="noConversion"/>
  </si>
  <si>
    <t>Process increase self-testing</t>
    <phoneticPr fontId="29" type="noConversion"/>
  </si>
  <si>
    <t>Connect the imaging controller and verify that the freeze/screenshot function is working properly</t>
    <phoneticPr fontId="29" type="noConversion"/>
  </si>
  <si>
    <t>目视全检</t>
    <phoneticPr fontId="29" type="noConversion"/>
  </si>
  <si>
    <t>visual inspection</t>
    <phoneticPr fontId="29" type="noConversion"/>
  </si>
  <si>
    <t>Fittings complete</t>
    <phoneticPr fontId="29" type="noConversion"/>
  </si>
  <si>
    <t>Missing accessories</t>
    <phoneticPr fontId="29" type="noConversion"/>
  </si>
  <si>
    <t>Product functionality has declined and users are very dissatisfied</t>
    <phoneticPr fontId="29" type="noConversion"/>
  </si>
  <si>
    <t>Documentation does not specify where accessories are to be mounted Documentation does not specify where accessories are to be mounted</t>
    <phoneticPr fontId="29" type="noConversion"/>
  </si>
  <si>
    <t>The process clarifies the installation of accessories and self-inspection requirements</t>
    <phoneticPr fontId="29" type="noConversion"/>
  </si>
  <si>
    <t>Visual inspection of accessories for completeness</t>
    <phoneticPr fontId="29" type="noConversion"/>
  </si>
  <si>
    <t>Seal width not less than 6mm</t>
    <phoneticPr fontId="29" type="noConversion"/>
  </si>
  <si>
    <t>Broken paper-plastic bags</t>
    <phoneticPr fontId="29" type="noConversion"/>
  </si>
  <si>
    <t>Product carries bacteria, causing patient injury</t>
    <phoneticPr fontId="29" type="noConversion"/>
  </si>
  <si>
    <t>Inappropriate equipment parameters</t>
    <phoneticPr fontId="29" type="noConversion"/>
  </si>
  <si>
    <t>1. Visually inspect the package for damage.
2. Use the tensile machine to test the first piece of packaging tension</t>
    <phoneticPr fontId="29" type="noConversion"/>
  </si>
  <si>
    <t>Critical Processes
Special Processes
Perform seal confirmation/evaluation</t>
    <phoneticPr fontId="29" type="noConversion"/>
  </si>
  <si>
    <t xml:space="preserve">Missing instructions   </t>
    <phoneticPr fontId="29" type="noConversion"/>
  </si>
  <si>
    <t>Wrong type of packaging</t>
    <phoneticPr fontId="29" type="noConversion"/>
  </si>
  <si>
    <t>1. Interruption of the next process 2. Very dissatisfied users</t>
    <phoneticPr fontId="29" type="noConversion"/>
  </si>
  <si>
    <t>1. Interruption of the next process 2. Very dissatisfied users</t>
    <phoneticPr fontId="29" type="noConversion"/>
  </si>
  <si>
    <t>Unclear packaging requirements</t>
    <phoneticPr fontId="29" type="noConversion"/>
  </si>
  <si>
    <t>Clarify process self-inspection requirements</t>
    <phoneticPr fontId="29" type="noConversion"/>
  </si>
  <si>
    <t>visual inspection</t>
    <phoneticPr fontId="29" type="noConversion"/>
  </si>
  <si>
    <t>Ensure that the product is sterile</t>
    <phoneticPr fontId="29" type="noConversion"/>
  </si>
  <si>
    <t>Causes injury to the patient</t>
    <phoneticPr fontId="29" type="noConversion"/>
  </si>
  <si>
    <t xml:space="preserve">
Incorrect sterilization parameters</t>
    <phoneticPr fontId="29" type="noConversion"/>
  </si>
  <si>
    <t>1. Perform sterilization confirmation
2. Perform BI test on each sterilized batch of products, check the records of sterilized batch at the same time, and label all the outsourced and insourced products with sterilized labels to prevent omission.</t>
    <phoneticPr fontId="29" type="noConversion"/>
  </si>
  <si>
    <t>Visual inspection Aseptic testing</t>
    <phoneticPr fontId="29" type="noConversion"/>
  </si>
  <si>
    <t>Critical Processes
Special processes
Sterilization confirmation/assessment</t>
    <phoneticPr fontId="29" type="noConversion"/>
  </si>
  <si>
    <t>Visualization R&amp;D Department</t>
    <phoneticPr fontId="29" type="noConversion"/>
  </si>
  <si>
    <t>Correct warehousing of products</t>
    <phoneticPr fontId="29" type="noConversion"/>
  </si>
  <si>
    <t>Incorrect inbound specifications</t>
    <phoneticPr fontId="29" type="noConversion"/>
  </si>
  <si>
    <t>It's affecting the process. Users are very unhappy.</t>
    <phoneticPr fontId="29" type="noConversion"/>
  </si>
  <si>
    <t>tagging error</t>
    <phoneticPr fontId="29" type="noConversion"/>
  </si>
  <si>
    <t>Utilizing coding machines for stocking</t>
    <phoneticPr fontId="29" type="noConversion"/>
  </si>
  <si>
    <t xml:space="preserve">Integrity of product packaging during transportation or storage
</t>
    <phoneticPr fontId="29" type="noConversion"/>
  </si>
  <si>
    <t>Damaged or incomplete product packaging</t>
    <phoneticPr fontId="29" type="noConversion"/>
  </si>
  <si>
    <t>The product is unusable or part of the performance is degraded or fails, and the customer is dissatisfied</t>
    <phoneticPr fontId="29" type="noConversion"/>
  </si>
  <si>
    <t>1. Violent operation, packaging was broken or extrusion
2.The products are bumped or dropped during transit, and scratched by sharp objects.
3.The storage environment does not meet the requirements of product design.</t>
    <phoneticPr fontId="29" type="noConversion"/>
  </si>
  <si>
    <t>1. Carry and place gently during transit
2. Use of pallets in the transfer process
3. Daily inspection of the storage environment</t>
    <phoneticPr fontId="29" type="noConversion"/>
  </si>
  <si>
    <t>visual inspection</t>
    <phoneticPr fontId="29" type="noConversion"/>
  </si>
  <si>
    <t>Outer box labels and markings are damaged and not properly identifiable</t>
    <phoneticPr fontId="29" type="noConversion"/>
  </si>
  <si>
    <t>Inability to correctly identify product information</t>
    <phoneticPr fontId="29" type="noConversion"/>
  </si>
  <si>
    <t>1. Violent operation, packaging was broken or extrusion
2.The products are bumped or dropped during transit, and scratched by sharp objects.
3.The storage environment does not meet the requirements of product design.</t>
    <phoneticPr fontId="29" type="noConversion"/>
  </si>
  <si>
    <t>1. Carry and place gently during transit
2. Use of pallets in the transfer process
3. Daily inspection of the storage environment</t>
    <phoneticPr fontId="29" type="noConversion"/>
  </si>
  <si>
    <t>visual inspection</t>
    <phoneticPr fontId="29" type="noConversion"/>
  </si>
  <si>
    <t>2.Mild: The current and downstream processes are affected or have a slight impact on product performance; The performance has decreased, but the expected function can be achieved, which may cause slight complaints from the operator, but will not cause personal injury.</t>
    <phoneticPr fontId="29" type="noConversion"/>
  </si>
  <si>
    <t>2.It is highly possible to detect errors on the spot, or to detect errors in subsequent operations using the principle of multiple detections.</t>
    <phoneticPr fontId="29" type="noConversion"/>
  </si>
  <si>
    <t>cleaning</t>
    <phoneticPr fontId="29" type="noConversion"/>
  </si>
  <si>
    <t>Heat sink assembly</t>
    <phoneticPr fontId="29" type="noConversion"/>
  </si>
  <si>
    <t>Module Ground Soldering</t>
    <phoneticPr fontId="29" type="noConversion"/>
  </si>
  <si>
    <t xml:space="preserve">Lower Shell Assembly Installation
</t>
    <phoneticPr fontId="29" type="noConversion"/>
  </si>
  <si>
    <t>1. Leakage during suction and injection
2. Liquid line tube is badly twisted, affecting suction volume
3. Imaging catheter is loose on the handle and can be rotated</t>
    <phoneticPr fontId="29" type="noConversion"/>
  </si>
  <si>
    <t>Rotor assembly</t>
    <phoneticPr fontId="29" type="noConversion"/>
  </si>
  <si>
    <t>Upper shell handle assembly</t>
    <phoneticPr fontId="29" type="noConversion"/>
  </si>
  <si>
    <t>Process inspection</t>
    <phoneticPr fontId="29" type="noConversion"/>
  </si>
  <si>
    <t>Finish inspection</t>
    <phoneticPr fontId="29" type="noConversion"/>
  </si>
  <si>
    <t>Inner packaging</t>
    <phoneticPr fontId="29" type="noConversion"/>
  </si>
  <si>
    <t>Packing of the center box and outer box according to the specified quantity, and putting in the product manuals</t>
    <phoneticPr fontId="29" type="noConversion"/>
  </si>
  <si>
    <t>Outer packaging</t>
    <phoneticPr fontId="29" type="noConversion"/>
  </si>
  <si>
    <t>Final inspection</t>
    <phoneticPr fontId="29" type="noConversion"/>
  </si>
  <si>
    <t>Product Sterilization</t>
    <phoneticPr fontId="29" type="noConversion"/>
  </si>
  <si>
    <t>sterilization</t>
    <phoneticPr fontId="29" type="noConversion"/>
  </si>
  <si>
    <t>Delivery inspection</t>
    <phoneticPr fontId="29" type="noConversion"/>
  </si>
  <si>
    <t>Container labels and marking information can be correctly identified during transportation or storage.</t>
    <phoneticPr fontId="29" type="noConversion"/>
  </si>
  <si>
    <t>Store</t>
    <phoneticPr fontId="29" type="noConversion"/>
  </si>
  <si>
    <t>无</t>
    <phoneticPr fontId="29" type="noConversion"/>
  </si>
  <si>
    <t>可视化研发部</t>
    <phoneticPr fontId="29" type="noConversion"/>
  </si>
  <si>
    <t>none</t>
    <phoneticPr fontId="29" type="noConversion"/>
  </si>
  <si>
    <t>N0.</t>
    <phoneticPr fontId="29" type="noConversion"/>
  </si>
  <si>
    <r>
      <t xml:space="preserve">Rev:                
</t>
    </r>
    <r>
      <rPr>
        <sz val="10"/>
        <color theme="1"/>
        <rFont val="宋体"/>
        <family val="3"/>
        <charset val="134"/>
      </rPr>
      <t>版本</t>
    </r>
    <phoneticPr fontId="52" type="noConversion"/>
  </si>
  <si>
    <t>1、手柄能控制远端软头上下转动
2、按键帽回弹正常3、上下壳美工缝均匀，上下壳无明显间隙</t>
    <phoneticPr fontId="29" type="noConversion"/>
  </si>
  <si>
    <t>Page 13 of 14</t>
    <phoneticPr fontId="29" type="noConversion"/>
  </si>
  <si>
    <t>Page 12 of 14</t>
    <phoneticPr fontId="29" type="noConversion"/>
  </si>
  <si>
    <t>Page 11 of 14</t>
    <phoneticPr fontId="29" type="noConversion"/>
  </si>
  <si>
    <t>Page 10 of 14</t>
    <phoneticPr fontId="29" type="noConversion"/>
  </si>
  <si>
    <t>Page 9 of 14</t>
    <phoneticPr fontId="29" type="noConversion"/>
  </si>
  <si>
    <t>Page 8 of 14</t>
    <phoneticPr fontId="29" type="noConversion"/>
  </si>
  <si>
    <t>Page 7 of 14</t>
    <phoneticPr fontId="29" type="noConversion"/>
  </si>
  <si>
    <t>Page 6 of 14</t>
    <phoneticPr fontId="29" type="noConversion"/>
  </si>
  <si>
    <t>第 5 页 / 共 14 页</t>
    <phoneticPr fontId="29" type="noConversion"/>
  </si>
  <si>
    <t>第 4 页 / 共 14 页</t>
    <phoneticPr fontId="29" type="noConversion"/>
  </si>
  <si>
    <t>第 3 页 / 共 14 页</t>
    <phoneticPr fontId="29" type="noConversion"/>
  </si>
  <si>
    <t>severity</t>
    <phoneticPr fontId="29" type="noConversion"/>
  </si>
  <si>
    <t>detectivity</t>
    <phoneticPr fontId="29" type="noConversion"/>
  </si>
  <si>
    <t>Risk order number</t>
    <phoneticPr fontId="29" type="noConversion"/>
  </si>
  <si>
    <t>Potential failure causes/mechanisms</t>
    <phoneticPr fontId="29" type="noConversion"/>
  </si>
  <si>
    <t>Suggested corrective/preventive measures</t>
    <phoneticPr fontId="29" type="noConversion"/>
  </si>
  <si>
    <r>
      <t xml:space="preserve">Single-use Video Pancreaticobiliary Scope PFMEA </t>
    </r>
    <r>
      <rPr>
        <b/>
        <sz val="18"/>
        <color theme="1"/>
        <rFont val="宋体"/>
        <family val="3"/>
        <charset val="134"/>
      </rPr>
      <t>（</t>
    </r>
    <r>
      <rPr>
        <b/>
        <sz val="18"/>
        <color theme="1"/>
        <rFont val="Times New Roman"/>
        <family val="1"/>
      </rPr>
      <t>G06 EU</t>
    </r>
    <r>
      <rPr>
        <b/>
        <sz val="18"/>
        <color theme="1"/>
        <rFont val="宋体"/>
        <family val="3"/>
        <charset val="134"/>
      </rPr>
      <t>）</t>
    </r>
    <phoneticPr fontId="29" type="noConversion"/>
  </si>
  <si>
    <r>
      <t xml:space="preserve">Page     of            
</t>
    </r>
    <r>
      <rPr>
        <sz val="12"/>
        <color theme="1"/>
        <rFont val="宋体"/>
        <family val="3"/>
        <charset val="134"/>
      </rPr>
      <t/>
    </r>
    <phoneticPr fontId="52" type="noConversion"/>
  </si>
  <si>
    <t xml:space="preserve">
Process Name</t>
    <phoneticPr fontId="29" type="noConversion"/>
  </si>
  <si>
    <t xml:space="preserve">
Functional requirements</t>
    <phoneticPr fontId="29" type="noConversion"/>
  </si>
  <si>
    <t xml:space="preserve">
FMEA</t>
    <phoneticPr fontId="29" type="noConversion"/>
  </si>
  <si>
    <t xml:space="preserve"> Prevent</t>
    <phoneticPr fontId="29" type="noConversion"/>
  </si>
  <si>
    <t xml:space="preserve"> Detection</t>
    <phoneticPr fontId="29" type="noConversion"/>
  </si>
  <si>
    <r>
      <rPr>
        <sz val="9"/>
        <rFont val="宋体"/>
        <family val="3"/>
        <charset val="134"/>
      </rPr>
      <t>光学性能满足要求</t>
    </r>
    <r>
      <rPr>
        <sz val="9"/>
        <rFont val="Times New Roman"/>
        <family val="1"/>
      </rPr>
      <t>Optical performance meets requirements</t>
    </r>
    <phoneticPr fontId="29" type="noConversion"/>
  </si>
  <si>
    <r>
      <t xml:space="preserve">Single-use Video Pancreaticobiliary Scope PFMEA </t>
    </r>
    <r>
      <rPr>
        <b/>
        <sz val="18"/>
        <color theme="1"/>
        <rFont val="宋体"/>
        <family val="3"/>
        <charset val="134"/>
      </rPr>
      <t>（</t>
    </r>
    <r>
      <rPr>
        <b/>
        <sz val="18"/>
        <color theme="1"/>
        <rFont val="Times New Roman"/>
        <family val="1"/>
      </rPr>
      <t>G06 EU</t>
    </r>
    <r>
      <rPr>
        <b/>
        <sz val="18"/>
        <color theme="1"/>
        <rFont val="宋体"/>
        <family val="3"/>
        <charset val="134"/>
      </rPr>
      <t>）</t>
    </r>
    <phoneticPr fontId="29" type="noConversion"/>
  </si>
  <si>
    <r>
      <t xml:space="preserve">Page     of            
</t>
    </r>
    <r>
      <rPr>
        <sz val="12"/>
        <color theme="1"/>
        <rFont val="宋体"/>
        <family val="3"/>
        <charset val="134"/>
      </rPr>
      <t/>
    </r>
    <phoneticPr fontId="52" type="noConversion"/>
  </si>
  <si>
    <r>
      <t xml:space="preserve">Single-use Video Pancreaticobiliary Scope PFMEA </t>
    </r>
    <r>
      <rPr>
        <b/>
        <sz val="18"/>
        <color theme="1"/>
        <rFont val="宋体"/>
        <family val="3"/>
        <charset val="134"/>
      </rPr>
      <t>（</t>
    </r>
    <r>
      <rPr>
        <b/>
        <sz val="18"/>
        <color theme="1"/>
        <rFont val="Times New Roman"/>
        <family val="1"/>
      </rPr>
      <t>G06 EU</t>
    </r>
    <r>
      <rPr>
        <b/>
        <sz val="18"/>
        <color theme="1"/>
        <rFont val="宋体"/>
        <family val="3"/>
        <charset val="134"/>
      </rPr>
      <t>）</t>
    </r>
    <phoneticPr fontId="29" type="noConversion"/>
  </si>
  <si>
    <r>
      <t xml:space="preserve">Page     of            
</t>
    </r>
    <r>
      <rPr>
        <sz val="12"/>
        <color theme="1"/>
        <rFont val="宋体"/>
        <family val="3"/>
        <charset val="134"/>
      </rPr>
      <t/>
    </r>
    <phoneticPr fontId="52" type="noConversion"/>
  </si>
  <si>
    <t xml:space="preserve"> Detection</t>
    <phoneticPr fontId="29" type="noConversion"/>
  </si>
  <si>
    <r>
      <t xml:space="preserve">1. Traction wire and fixed head connection force </t>
    </r>
    <r>
      <rPr>
        <sz val="9"/>
        <rFont val="宋体"/>
        <family val="3"/>
        <charset val="134"/>
      </rPr>
      <t>≥</t>
    </r>
    <r>
      <rPr>
        <sz val="9"/>
        <rFont val="Times New Roman"/>
        <family val="1"/>
      </rPr>
      <t xml:space="preserve"> 15N
2. Steering without empty stroke; 3. No serious wrinkles in the outer cladding layer in the case of neutral (to ensure that the corresponding specifications of the gauge measurement to meet the requirements)
4. Correct steering direction and qualified angle</t>
    </r>
    <phoneticPr fontId="29" type="noConversion"/>
  </si>
  <si>
    <r>
      <t>1, the handle can control the distal end of the soft head up and down rotation
2</t>
    </r>
    <r>
      <rPr>
        <sz val="9"/>
        <rFont val="宋体"/>
        <family val="3"/>
        <charset val="134"/>
      </rPr>
      <t>、</t>
    </r>
    <r>
      <rPr>
        <sz val="9"/>
        <rFont val="Times New Roman"/>
        <family val="1"/>
      </rPr>
      <t>Key cap rebound normal 3</t>
    </r>
    <r>
      <rPr>
        <sz val="9"/>
        <rFont val="宋体"/>
        <family val="3"/>
        <charset val="134"/>
      </rPr>
      <t>、</t>
    </r>
    <r>
      <rPr>
        <sz val="9"/>
        <rFont val="Times New Roman"/>
        <family val="1"/>
      </rPr>
      <t>Upper and lower shell without obvious gap</t>
    </r>
    <phoneticPr fontId="29" type="noConversion"/>
  </si>
  <si>
    <r>
      <t>1</t>
    </r>
    <r>
      <rPr>
        <sz val="9"/>
        <rFont val="宋体"/>
        <family val="3"/>
        <charset val="134"/>
      </rPr>
      <t>、</t>
    </r>
    <r>
      <rPr>
        <sz val="9"/>
        <rFont val="Times New Roman"/>
        <family val="1"/>
      </rPr>
      <t>Packaging confirmation
2</t>
    </r>
    <r>
      <rPr>
        <sz val="9"/>
        <rFont val="宋体"/>
        <family val="3"/>
        <charset val="134"/>
      </rPr>
      <t>、</t>
    </r>
    <r>
      <rPr>
        <sz val="9"/>
        <rFont val="Times New Roman"/>
        <family val="1"/>
      </rPr>
      <t>Establish perfect equipment parameters
First inspection confirmation for each batch</t>
    </r>
    <phoneticPr fontId="29" type="noConversion"/>
  </si>
  <si>
    <r>
      <t xml:space="preserve">Seal peel strength </t>
    </r>
    <r>
      <rPr>
        <sz val="9"/>
        <rFont val="宋体"/>
        <family val="3"/>
        <charset val="134"/>
      </rPr>
      <t>≥</t>
    </r>
    <r>
      <rPr>
        <sz val="9"/>
        <rFont val="Times New Roman"/>
        <family val="1"/>
      </rPr>
      <t>1.0 lbf/inch</t>
    </r>
    <phoneticPr fontId="29" type="noConversion"/>
  </si>
  <si>
    <r>
      <t>Explanation</t>
    </r>
    <r>
      <rPr>
        <b/>
        <sz val="14"/>
        <rFont val="宋体"/>
        <family val="3"/>
        <charset val="134"/>
      </rPr>
      <t>：</t>
    </r>
    <r>
      <rPr>
        <b/>
        <sz val="14"/>
        <rFont val="Times New Roman"/>
        <family val="1"/>
      </rPr>
      <t>Principles for preparing PFMEA:</t>
    </r>
    <phoneticPr fontId="29" type="noConversion"/>
  </si>
  <si>
    <t>S=Severity</t>
    <phoneticPr fontId="29" type="noConversion"/>
  </si>
  <si>
    <t>O=Frequentness</t>
    <phoneticPr fontId="29" type="noConversion"/>
  </si>
  <si>
    <t>D=Detectability</t>
    <phoneticPr fontId="29" type="noConversion"/>
  </si>
  <si>
    <t>R=RPN</t>
    <phoneticPr fontId="29" type="noConversion"/>
  </si>
  <si>
    <t>1.Negligible: No impact on downstream processes or negligible impact on product performance; It will not cause user complaints, personnel injury, property or environmental damage.</t>
    <phoneticPr fontId="29" type="noConversion"/>
  </si>
  <si>
    <r>
      <t>1.Very little</t>
    </r>
    <r>
      <rPr>
        <sz val="9"/>
        <rFont val="宋体"/>
        <family val="3"/>
        <charset val="134"/>
      </rPr>
      <t>：＜</t>
    </r>
    <r>
      <rPr>
        <sz val="9"/>
        <rFont val="Times New Roman"/>
        <family val="1"/>
      </rPr>
      <t>10</t>
    </r>
    <r>
      <rPr>
        <vertAlign val="superscript"/>
        <sz val="9"/>
        <rFont val="Times New Roman"/>
        <family val="1"/>
      </rPr>
      <t>-6</t>
    </r>
    <r>
      <rPr>
        <vertAlign val="superscript"/>
        <sz val="9"/>
        <rFont val="宋体"/>
        <family val="3"/>
        <charset val="134"/>
      </rPr>
      <t>；</t>
    </r>
    <phoneticPr fontId="29" type="noConversion"/>
  </si>
  <si>
    <t>1.Basic ability: The design adopts error prevention measures and will not produce defective components;</t>
    <phoneticPr fontId="29" type="noConversion"/>
  </si>
  <si>
    <r>
      <t>2.Little</t>
    </r>
    <r>
      <rPr>
        <sz val="9"/>
        <rFont val="宋体"/>
        <family val="3"/>
        <charset val="134"/>
      </rPr>
      <t>：</t>
    </r>
    <r>
      <rPr>
        <sz val="9"/>
        <rFont val="Times New Roman"/>
        <family val="1"/>
      </rPr>
      <t>&lt;10</t>
    </r>
    <r>
      <rPr>
        <vertAlign val="superscript"/>
        <sz val="9"/>
        <rFont val="Times New Roman"/>
        <family val="1"/>
      </rPr>
      <t>-5</t>
    </r>
    <r>
      <rPr>
        <sz val="9"/>
        <rFont val="Times New Roman"/>
        <family val="1"/>
      </rPr>
      <t xml:space="preserve"> </t>
    </r>
    <r>
      <rPr>
        <sz val="9"/>
        <rFont val="宋体"/>
        <family val="3"/>
        <charset val="134"/>
      </rPr>
      <t>和</t>
    </r>
    <r>
      <rPr>
        <sz val="9"/>
        <rFont val="Times New Roman"/>
        <family val="1"/>
      </rPr>
      <t xml:space="preserve"> </t>
    </r>
    <r>
      <rPr>
        <sz val="9"/>
        <rFont val="宋体"/>
        <family val="3"/>
        <charset val="134"/>
      </rPr>
      <t>≥</t>
    </r>
    <r>
      <rPr>
        <sz val="9"/>
        <rFont val="Times New Roman"/>
        <family val="1"/>
      </rPr>
      <t>10</t>
    </r>
    <r>
      <rPr>
        <vertAlign val="superscript"/>
        <sz val="9"/>
        <rFont val="Times New Roman"/>
        <family val="1"/>
      </rPr>
      <t>-6</t>
    </r>
    <r>
      <rPr>
        <sz val="9"/>
        <rFont val="宋体"/>
        <family val="3"/>
        <charset val="134"/>
      </rPr>
      <t>；</t>
    </r>
    <phoneticPr fontId="29" type="noConversion"/>
  </si>
  <si>
    <t>3.Moderate: downstream process interruption or moderate impact on product performance; The performance of the product decreases, but it can achieve the expected function, which may cause patient injury, but does not require professional medical intervention.</t>
    <phoneticPr fontId="29" type="noConversion"/>
  </si>
  <si>
    <r>
      <t>3Accidental</t>
    </r>
    <r>
      <rPr>
        <sz val="9"/>
        <rFont val="宋体"/>
        <family val="3"/>
        <charset val="134"/>
      </rPr>
      <t>：</t>
    </r>
    <r>
      <rPr>
        <sz val="9"/>
        <rFont val="Times New Roman"/>
        <family val="1"/>
      </rPr>
      <t>&lt;10</t>
    </r>
    <r>
      <rPr>
        <vertAlign val="superscript"/>
        <sz val="9"/>
        <rFont val="Times New Roman"/>
        <family val="1"/>
      </rPr>
      <t>-4</t>
    </r>
    <r>
      <rPr>
        <sz val="9"/>
        <rFont val="Times New Roman"/>
        <family val="1"/>
      </rPr>
      <t xml:space="preserve"> </t>
    </r>
    <r>
      <rPr>
        <sz val="9"/>
        <rFont val="宋体"/>
        <family val="3"/>
        <charset val="134"/>
      </rPr>
      <t>和</t>
    </r>
    <r>
      <rPr>
        <sz val="9"/>
        <rFont val="Times New Roman"/>
        <family val="1"/>
      </rPr>
      <t xml:space="preserve"> </t>
    </r>
    <r>
      <rPr>
        <sz val="9"/>
        <rFont val="宋体"/>
        <family val="3"/>
        <charset val="134"/>
      </rPr>
      <t>≥</t>
    </r>
    <r>
      <rPr>
        <sz val="9"/>
        <rFont val="Times New Roman"/>
        <family val="1"/>
      </rPr>
      <t>10</t>
    </r>
    <r>
      <rPr>
        <vertAlign val="superscript"/>
        <sz val="9"/>
        <rFont val="Times New Roman"/>
        <family val="1"/>
      </rPr>
      <t>-5</t>
    </r>
    <r>
      <rPr>
        <sz val="9"/>
        <rFont val="宋体"/>
        <family val="3"/>
        <charset val="134"/>
      </rPr>
      <t>；</t>
    </r>
    <phoneticPr fontId="29" type="noConversion"/>
  </si>
  <si>
    <t>3.Possible: can only be detected through indirect or double inspection.</t>
    <phoneticPr fontId="29" type="noConversion"/>
  </si>
  <si>
    <t>4.Serious: leading to serious shutdown and causing serious economic losses, or having a serious impact on product performance; The product loses its intended function or causes patient injury, requiring professional medical intervention; Causing damage to property or the environment.</t>
    <phoneticPr fontId="29" type="noConversion"/>
  </si>
  <si>
    <r>
      <t>4.Sometimes</t>
    </r>
    <r>
      <rPr>
        <sz val="9"/>
        <rFont val="宋体"/>
        <family val="3"/>
        <charset val="134"/>
      </rPr>
      <t>：</t>
    </r>
    <r>
      <rPr>
        <sz val="9"/>
        <rFont val="Times New Roman"/>
        <family val="1"/>
      </rPr>
      <t>&lt;10</t>
    </r>
    <r>
      <rPr>
        <vertAlign val="superscript"/>
        <sz val="9"/>
        <rFont val="Times New Roman"/>
        <family val="1"/>
      </rPr>
      <t>-3</t>
    </r>
    <r>
      <rPr>
        <sz val="9"/>
        <rFont val="Times New Roman"/>
        <family val="1"/>
      </rPr>
      <t xml:space="preserve"> </t>
    </r>
    <r>
      <rPr>
        <sz val="9"/>
        <rFont val="宋体"/>
        <family val="3"/>
        <charset val="134"/>
      </rPr>
      <t>和</t>
    </r>
    <r>
      <rPr>
        <sz val="9"/>
        <rFont val="Times New Roman"/>
        <family val="1"/>
      </rPr>
      <t xml:space="preserve"> </t>
    </r>
    <r>
      <rPr>
        <sz val="9"/>
        <rFont val="宋体"/>
        <family val="3"/>
        <charset val="134"/>
      </rPr>
      <t>≥</t>
    </r>
    <r>
      <rPr>
        <sz val="9"/>
        <rFont val="Times New Roman"/>
        <family val="1"/>
      </rPr>
      <t>10</t>
    </r>
    <r>
      <rPr>
        <vertAlign val="superscript"/>
        <sz val="9"/>
        <rFont val="Times New Roman"/>
        <family val="1"/>
      </rPr>
      <t>-4</t>
    </r>
    <r>
      <rPr>
        <sz val="9"/>
        <rFont val="宋体"/>
        <family val="3"/>
        <charset val="134"/>
      </rPr>
      <t>；</t>
    </r>
    <phoneticPr fontId="29" type="noConversion"/>
  </si>
  <si>
    <t>4.Impossible: can only be detected through indirect or random inspections.</t>
    <phoneticPr fontId="29" type="noConversion"/>
  </si>
  <si>
    <t>5.Extremely serious: causing the production line to shut down, injuring operators, or having an extremely serious impact on product performance; Causing irreversible damage to the patient, such as disability or death.</t>
    <phoneticPr fontId="29" type="noConversion"/>
  </si>
  <si>
    <r>
      <t>5.Often</t>
    </r>
    <r>
      <rPr>
        <sz val="9"/>
        <rFont val="宋体"/>
        <family val="3"/>
        <charset val="134"/>
      </rPr>
      <t>：≥</t>
    </r>
    <r>
      <rPr>
        <sz val="9"/>
        <rFont val="Times New Roman"/>
        <family val="1"/>
      </rPr>
      <t>10</t>
    </r>
    <r>
      <rPr>
        <vertAlign val="superscript"/>
        <sz val="9"/>
        <rFont val="Times New Roman"/>
        <family val="1"/>
      </rPr>
      <t>-3</t>
    </r>
    <phoneticPr fontId="29" type="noConversion"/>
  </si>
  <si>
    <t>5.Almost impossible: unable to detect or without detection.</t>
    <phoneticPr fontId="29" type="noConversion"/>
  </si>
  <si>
    <t>机密性：此文件包括机密性信息并且是南京迈创医疗器械有限公司的私有财产。
此文件及其包含的信息均不可在没有得到南京迈创医疗器械有限公司预先的书面同意的情况下为了第三方的利益被复制、利用和传播。</t>
  </si>
  <si>
    <t>Confidentiality:  This document contains information that is confidential and proprietary property of  Transmed (China) Co., Ltd.. Neither this document nor the information therein may be reproduced, used or distributed to or for the benefit of any third party without prior written consent of  Transmed (China) Co., Ltd..</t>
  </si>
  <si>
    <t>TM-0001083</t>
    <phoneticPr fontId="29" type="noConversion"/>
  </si>
  <si>
    <r>
      <rPr>
        <sz val="10"/>
        <color indexed="8"/>
        <rFont val="宋体"/>
        <family val="3"/>
        <charset val="134"/>
      </rPr>
      <t>序号</t>
    </r>
    <r>
      <rPr>
        <sz val="10"/>
        <color indexed="8"/>
        <rFont val="Times New Roman"/>
        <family val="1"/>
      </rPr>
      <t>No.</t>
    </r>
    <phoneticPr fontId="29" type="noConversion"/>
  </si>
  <si>
    <r>
      <rPr>
        <sz val="10"/>
        <rFont val="宋体"/>
        <family val="3"/>
        <charset val="134"/>
      </rPr>
      <t>规格型号</t>
    </r>
    <r>
      <rPr>
        <sz val="10"/>
        <rFont val="Times New Roman"/>
        <family val="1"/>
      </rPr>
      <t>Specifications and models</t>
    </r>
    <phoneticPr fontId="29" type="noConversion"/>
  </si>
  <si>
    <r>
      <rPr>
        <sz val="10"/>
        <color indexed="8"/>
        <rFont val="宋体"/>
        <family val="3"/>
        <charset val="134"/>
      </rPr>
      <t>内控号</t>
    </r>
    <r>
      <rPr>
        <sz val="10"/>
        <color indexed="8"/>
        <rFont val="Times New Roman"/>
        <family val="1"/>
      </rPr>
      <t>internal control number</t>
    </r>
    <phoneticPr fontId="29" type="noConversion"/>
  </si>
  <si>
    <r>
      <rPr>
        <sz val="10"/>
        <color indexed="8"/>
        <rFont val="宋体"/>
        <family val="3"/>
        <charset val="134"/>
      </rPr>
      <t>线缆</t>
    </r>
    <r>
      <rPr>
        <sz val="10"/>
        <color indexed="8"/>
        <rFont val="Times New Roman"/>
        <family val="1"/>
      </rPr>
      <t>cable</t>
    </r>
    <phoneticPr fontId="29" type="noConversion"/>
  </si>
  <si>
    <r>
      <rPr>
        <sz val="10"/>
        <color indexed="8"/>
        <rFont val="宋体"/>
        <family val="3"/>
        <charset val="134"/>
      </rPr>
      <t>器械通道直径（</t>
    </r>
    <r>
      <rPr>
        <sz val="10"/>
        <color indexed="8"/>
        <rFont val="Times New Roman"/>
        <family val="1"/>
      </rPr>
      <t>D1·mm</t>
    </r>
    <r>
      <rPr>
        <sz val="10"/>
        <color indexed="8"/>
        <rFont val="宋体"/>
        <family val="3"/>
        <charset val="134"/>
      </rPr>
      <t>）</t>
    </r>
    <r>
      <rPr>
        <sz val="10"/>
        <color indexed="8"/>
        <rFont val="Times New Roman"/>
        <family val="1"/>
      </rPr>
      <t>Instrument channel width</t>
    </r>
    <phoneticPr fontId="29" type="noConversion"/>
  </si>
  <si>
    <r>
      <rPr>
        <sz val="10"/>
        <color indexed="8"/>
        <rFont val="宋体"/>
        <family val="3"/>
        <charset val="134"/>
      </rPr>
      <t>有效工作长度（</t>
    </r>
    <r>
      <rPr>
        <sz val="10"/>
        <color indexed="8"/>
        <rFont val="Times New Roman"/>
        <family val="1"/>
      </rPr>
      <t>L1·mm</t>
    </r>
    <r>
      <rPr>
        <sz val="10"/>
        <color indexed="8"/>
        <rFont val="宋体"/>
        <family val="3"/>
        <charset val="134"/>
      </rPr>
      <t>）</t>
    </r>
    <r>
      <rPr>
        <sz val="10"/>
        <color indexed="8"/>
        <rFont val="Times New Roman"/>
        <family val="1"/>
      </rPr>
      <t>Working length</t>
    </r>
    <phoneticPr fontId="29" type="noConversion"/>
  </si>
  <si>
    <r>
      <rPr>
        <sz val="10"/>
        <color indexed="8"/>
        <rFont val="宋体"/>
        <family val="3"/>
        <charset val="134"/>
      </rPr>
      <t>最大插入部外径</t>
    </r>
    <r>
      <rPr>
        <sz val="10"/>
        <color indexed="8"/>
        <rFont val="Times New Roman"/>
        <family val="1"/>
      </rPr>
      <t>(mm</t>
    </r>
    <r>
      <rPr>
        <sz val="10"/>
        <color indexed="8"/>
        <rFont val="宋体"/>
        <family val="3"/>
        <charset val="134"/>
      </rPr>
      <t>）</t>
    </r>
    <r>
      <rPr>
        <sz val="10"/>
        <color indexed="8"/>
        <rFont val="Times New Roman"/>
        <family val="1"/>
      </rPr>
      <t>Maximum insertion portion width</t>
    </r>
    <phoneticPr fontId="29" type="noConversion"/>
  </si>
  <si>
    <r>
      <rPr>
        <sz val="10"/>
        <color indexed="8"/>
        <rFont val="宋体"/>
        <family val="3"/>
        <charset val="134"/>
      </rPr>
      <t>软管外径</t>
    </r>
    <r>
      <rPr>
        <sz val="10"/>
        <color indexed="8"/>
        <rFont val="Times New Roman"/>
        <family val="1"/>
      </rPr>
      <t xml:space="preserve">(mm) Insertion tube width </t>
    </r>
    <phoneticPr fontId="29" type="noConversion"/>
  </si>
  <si>
    <t>李文昌</t>
    <phoneticPr fontId="52" type="noConversion"/>
  </si>
  <si>
    <r>
      <rPr>
        <sz val="11"/>
        <color indexed="8"/>
        <rFont val="宋体"/>
        <family val="3"/>
        <charset val="134"/>
      </rPr>
      <t>序号</t>
    </r>
    <r>
      <rPr>
        <sz val="11"/>
        <color indexed="8"/>
        <rFont val="Times New Roman"/>
        <family val="1"/>
      </rPr>
      <t>N0.</t>
    </r>
    <phoneticPr fontId="52" type="noConversion"/>
  </si>
  <si>
    <r>
      <rPr>
        <sz val="11"/>
        <color indexed="8"/>
        <rFont val="宋体"/>
        <family val="3"/>
        <charset val="134"/>
      </rPr>
      <t>版本</t>
    </r>
    <r>
      <rPr>
        <sz val="11"/>
        <color indexed="8"/>
        <rFont val="Times New Roman"/>
        <family val="1"/>
      </rPr>
      <t>Rev:</t>
    </r>
    <phoneticPr fontId="29" type="noConversion"/>
  </si>
  <si>
    <r>
      <rPr>
        <sz val="11"/>
        <color indexed="8"/>
        <rFont val="宋体"/>
        <family val="3"/>
        <charset val="134"/>
      </rPr>
      <t>描述</t>
    </r>
    <r>
      <rPr>
        <sz val="11"/>
        <color indexed="8"/>
        <rFont val="Times New Roman"/>
        <family val="1"/>
      </rPr>
      <t>description</t>
    </r>
    <phoneticPr fontId="29" type="noConversion"/>
  </si>
  <si>
    <r>
      <rPr>
        <sz val="11"/>
        <color indexed="8"/>
        <rFont val="宋体"/>
        <family val="3"/>
        <charset val="134"/>
      </rPr>
      <t>日期</t>
    </r>
    <r>
      <rPr>
        <sz val="11"/>
        <color indexed="8"/>
        <rFont val="Times New Roman"/>
        <family val="1"/>
      </rPr>
      <t xml:space="preserve">date </t>
    </r>
    <phoneticPr fontId="29" type="noConversion"/>
  </si>
  <si>
    <r>
      <rPr>
        <sz val="11"/>
        <color indexed="8"/>
        <rFont val="宋体"/>
        <family val="3"/>
        <charset val="134"/>
      </rPr>
      <t>编制人</t>
    </r>
    <r>
      <rPr>
        <sz val="11"/>
        <color indexed="8"/>
        <rFont val="Times New Roman"/>
        <family val="1"/>
      </rPr>
      <t>/</t>
    </r>
    <r>
      <rPr>
        <sz val="11"/>
        <color indexed="8"/>
        <rFont val="宋体"/>
        <family val="3"/>
        <charset val="134"/>
      </rPr>
      <t>修订人</t>
    </r>
    <r>
      <rPr>
        <sz val="11"/>
        <color indexed="8"/>
        <rFont val="Times New Roman"/>
        <family val="1"/>
      </rPr>
      <t>Prepared by/revised by</t>
    </r>
    <phoneticPr fontId="29" type="noConversion"/>
  </si>
  <si>
    <t>1.RPN value 1-20, low risk: generally acceptable;</t>
    <phoneticPr fontId="29" type="noConversion"/>
  </si>
  <si>
    <t>2.RPN value 21-40, medium risk: further analysis and investigation can reduce the risk;</t>
    <phoneticPr fontId="29" type="noConversion"/>
  </si>
  <si>
    <t>3.RPN value of 40+, high risk: unacceptable, cutting measures must be taken to reduce risk;</t>
    <phoneticPr fontId="29" type="noConversion"/>
  </si>
  <si>
    <r>
      <rPr>
        <sz val="10"/>
        <rFont val="宋体"/>
        <family val="3"/>
        <charset val="134"/>
      </rPr>
      <t>第</t>
    </r>
    <r>
      <rPr>
        <sz val="10"/>
        <rFont val="Times New Roman"/>
        <family val="1"/>
      </rPr>
      <t xml:space="preserve"> 14 </t>
    </r>
    <r>
      <rPr>
        <sz val="10"/>
        <rFont val="宋体"/>
        <family val="3"/>
        <charset val="134"/>
      </rPr>
      <t>页</t>
    </r>
    <r>
      <rPr>
        <sz val="10"/>
        <rFont val="Times New Roman"/>
        <family val="1"/>
      </rPr>
      <t xml:space="preserve"> / </t>
    </r>
    <r>
      <rPr>
        <sz val="10"/>
        <rFont val="宋体"/>
        <family val="3"/>
        <charset val="134"/>
      </rPr>
      <t>共</t>
    </r>
    <r>
      <rPr>
        <sz val="10"/>
        <rFont val="Times New Roman"/>
        <family val="1"/>
      </rPr>
      <t xml:space="preserve">14 </t>
    </r>
    <r>
      <rPr>
        <sz val="10"/>
        <rFont val="宋体"/>
        <family val="3"/>
        <charset val="134"/>
      </rPr>
      <t>页</t>
    </r>
    <phoneticPr fontId="52" type="noConversion"/>
  </si>
  <si>
    <r>
      <rPr>
        <sz val="11"/>
        <color indexed="8"/>
        <rFont val="Times New Roman"/>
        <family val="1"/>
      </rPr>
      <t>1</t>
    </r>
    <r>
      <rPr>
        <sz val="11"/>
        <color indexed="8"/>
        <rFont val="宋体"/>
        <family val="3"/>
        <charset val="134"/>
      </rPr>
      <t>，本文件由</t>
    </r>
    <r>
      <rPr>
        <sz val="11"/>
        <color indexed="8"/>
        <rFont val="Times New Roman"/>
        <family val="1"/>
      </rPr>
      <t>MTN-1007612_A0</t>
    </r>
    <r>
      <rPr>
        <sz val="11"/>
        <color indexed="8"/>
        <rFont val="宋体"/>
        <family val="3"/>
        <charset val="134"/>
      </rPr>
      <t>升版；</t>
    </r>
    <r>
      <rPr>
        <sz val="11"/>
        <color indexed="8"/>
        <rFont val="Times New Roman"/>
        <family val="1"/>
      </rPr>
      <t>This document has been upgraded from MTN-1007612-A0;</t>
    </r>
    <r>
      <rPr>
        <sz val="12"/>
        <color indexed="8"/>
        <rFont val="Times New Roman"/>
        <family val="1"/>
      </rPr>
      <t xml:space="preserve">
</t>
    </r>
    <r>
      <rPr>
        <sz val="11"/>
        <color indexed="8"/>
        <rFont val="Times New Roman"/>
        <family val="1"/>
      </rPr>
      <t>2</t>
    </r>
    <r>
      <rPr>
        <sz val="11"/>
        <color indexed="8"/>
        <rFont val="宋体"/>
        <family val="3"/>
        <charset val="134"/>
      </rPr>
      <t>，增加改善措施证据</t>
    </r>
    <r>
      <rPr>
        <sz val="11"/>
        <color indexed="8"/>
        <rFont val="Times New Roman"/>
        <family val="1"/>
      </rPr>
      <t>Increase evidence of improvement measures.</t>
    </r>
    <phoneticPr fontId="52" type="noConversion"/>
  </si>
  <si>
    <t>MTN-1007620一次性胰胆成像导管OQ评估报告</t>
    <phoneticPr fontId="29" type="noConversion"/>
  </si>
  <si>
    <t>/</t>
    <phoneticPr fontId="29" type="noConversion"/>
  </si>
  <si>
    <t>MTN-1007620 OQ assessment Report for Single-use Video Pancreaticobiliary Scope</t>
    <phoneticPr fontId="29" type="noConversion"/>
  </si>
  <si>
    <t>一体Integrated cable</t>
    <phoneticPr fontId="29" type="noConversion"/>
  </si>
  <si>
    <t>分体Split cable</t>
    <phoneticPr fontId="29" type="noConversion"/>
  </si>
  <si>
    <t xml:space="preserve">
MTN-1010340 一次性胰胆成像导管
EO 灭菌过程评估报告</t>
    <phoneticPr fontId="29" type="noConversion"/>
  </si>
  <si>
    <t xml:space="preserve">MTN-1010340 EO-Sterilization Process Evaluation Report of 
Single-use Video Pancreaticobiliary Scope </t>
    <phoneticPr fontId="29" type="noConversion"/>
  </si>
  <si>
    <t>A/1</t>
  </si>
  <si>
    <t>A/1</t>
    <phoneticPr fontId="29" type="noConversion"/>
  </si>
  <si>
    <t>-</t>
  </si>
  <si>
    <t xml:space="preserve">打印标签
</t>
    <phoneticPr fontId="29" type="noConversion"/>
  </si>
  <si>
    <t>标签打印模糊</t>
    <phoneticPr fontId="29" type="noConversion"/>
  </si>
  <si>
    <t>标签格式打印错误</t>
    <phoneticPr fontId="29" type="noConversion"/>
  </si>
  <si>
    <t>标签打印内容错误</t>
    <phoneticPr fontId="95" type="noConversion"/>
  </si>
  <si>
    <t>信息不全，使用不便，延长手术时间</t>
    <phoneticPr fontId="29" type="noConversion"/>
  </si>
  <si>
    <t>错误使用器械，对患者造成损伤</t>
    <phoneticPr fontId="95" type="noConversion"/>
  </si>
  <si>
    <t>10</t>
    <phoneticPr fontId="29" type="noConversion"/>
  </si>
  <si>
    <t>根据产品DHR信息进行标签打印。</t>
    <phoneticPr fontId="29" type="noConversion"/>
  </si>
  <si>
    <t>1.打印机参数设置错误。
2.空白标签使用错误，模板使用错误。
3.打印机异常。</t>
    <phoneticPr fontId="29" type="noConversion"/>
  </si>
  <si>
    <t>1.对打印参数进行验证，打印机每日开班进行点检。
2.进行人员岗位培训，固定标签模板，内控号与模板有系统绑定，数据库有会签、评审。
3.打印设备定时维保。</t>
    <phoneticPr fontId="29" type="noConversion"/>
  </si>
  <si>
    <t>1.作业人员目视检查标签品质。
2.每批标签首件确认。
3.最终检对包装后产品进行抽检。</t>
    <phoneticPr fontId="95" type="noConversion"/>
  </si>
  <si>
    <t>1.DHR错误。
2.标签模板信息错误，标签模板选用错误。
3.打印人员信息录入错误。</t>
    <phoneticPr fontId="95" type="noConversion"/>
  </si>
  <si>
    <t>1.对DHR进行复核确认。
2.标签模板需要进行会签确认，内控号与模板有系统绑定，数据库有会签、评审。
3.进行人员岗位培训。</t>
    <phoneticPr fontId="95" type="noConversion"/>
  </si>
  <si>
    <t xml:space="preserve">UDI条码信息错误
</t>
    <phoneticPr fontId="95" type="noConversion"/>
  </si>
  <si>
    <t xml:space="preserve">器械无法正常入成品库
</t>
    <phoneticPr fontId="95" type="noConversion"/>
  </si>
  <si>
    <t xml:space="preserve">1.标签模板信息错误；
2.标签模板选用错误；
</t>
    <phoneticPr fontId="95" type="noConversion"/>
  </si>
  <si>
    <t>1.标签模板需要进行会签确认，且内控号与模板有系统绑定，数据库有会签、评审。
2.进行人员岗位培训。</t>
    <phoneticPr fontId="95" type="noConversion"/>
  </si>
  <si>
    <t>每批标签首件确认时进行UDI条码确认</t>
    <phoneticPr fontId="95" type="noConversion"/>
  </si>
  <si>
    <t>按照《标签打印及确认标准作业指导书》作业</t>
    <phoneticPr fontId="95" type="noConversion"/>
  </si>
  <si>
    <t xml:space="preserve">产品管理部
</t>
    <phoneticPr fontId="95" type="noConversion"/>
  </si>
  <si>
    <r>
      <t>1.非常少：＜10</t>
    </r>
    <r>
      <rPr>
        <vertAlign val="superscript"/>
        <sz val="9"/>
        <rFont val="宋体"/>
        <family val="3"/>
        <charset val="134"/>
        <scheme val="minor"/>
      </rPr>
      <t>-6；</t>
    </r>
    <phoneticPr fontId="29" type="noConversion"/>
  </si>
  <si>
    <r>
      <t>2.很少：&lt;10</t>
    </r>
    <r>
      <rPr>
        <vertAlign val="superscript"/>
        <sz val="9"/>
        <rFont val="宋体"/>
        <family val="3"/>
        <charset val="134"/>
        <scheme val="minor"/>
      </rPr>
      <t>-5</t>
    </r>
    <r>
      <rPr>
        <sz val="9"/>
        <rFont val="宋体"/>
        <family val="3"/>
        <charset val="134"/>
        <scheme val="minor"/>
      </rPr>
      <t xml:space="preserve"> 和 ≥10</t>
    </r>
    <r>
      <rPr>
        <vertAlign val="superscript"/>
        <sz val="9"/>
        <rFont val="宋体"/>
        <family val="3"/>
        <charset val="134"/>
        <scheme val="minor"/>
      </rPr>
      <t>-6</t>
    </r>
    <r>
      <rPr>
        <sz val="9"/>
        <rFont val="宋体"/>
        <family val="3"/>
        <charset val="134"/>
        <scheme val="minor"/>
      </rPr>
      <t>；</t>
    </r>
    <phoneticPr fontId="29" type="noConversion"/>
  </si>
  <si>
    <t>1.RPN值1-20，低风险：一般可接受；</t>
    <phoneticPr fontId="29" type="noConversion"/>
  </si>
  <si>
    <r>
      <t>3.偶然：&lt;10</t>
    </r>
    <r>
      <rPr>
        <vertAlign val="superscript"/>
        <sz val="9"/>
        <rFont val="宋体"/>
        <family val="3"/>
        <charset val="134"/>
        <scheme val="minor"/>
      </rPr>
      <t>-4</t>
    </r>
    <r>
      <rPr>
        <sz val="9"/>
        <rFont val="宋体"/>
        <family val="3"/>
        <charset val="134"/>
        <scheme val="minor"/>
      </rPr>
      <t xml:space="preserve"> 和 ≥10</t>
    </r>
    <r>
      <rPr>
        <vertAlign val="superscript"/>
        <sz val="9"/>
        <rFont val="宋体"/>
        <family val="3"/>
        <charset val="134"/>
        <scheme val="minor"/>
      </rPr>
      <t>-5</t>
    </r>
    <r>
      <rPr>
        <sz val="9"/>
        <rFont val="宋体"/>
        <family val="3"/>
        <charset val="134"/>
        <scheme val="minor"/>
      </rPr>
      <t>；</t>
    </r>
    <phoneticPr fontId="29" type="noConversion"/>
  </si>
  <si>
    <t>2.RPN值21-40，中风险：进一步分析调查可减少的风险；</t>
    <phoneticPr fontId="29" type="noConversion"/>
  </si>
  <si>
    <r>
      <t>4.有时：&lt;10</t>
    </r>
    <r>
      <rPr>
        <vertAlign val="superscript"/>
        <sz val="9"/>
        <rFont val="宋体"/>
        <family val="3"/>
        <charset val="134"/>
        <scheme val="minor"/>
      </rPr>
      <t>-3</t>
    </r>
    <r>
      <rPr>
        <sz val="9"/>
        <rFont val="宋体"/>
        <family val="3"/>
        <charset val="134"/>
        <scheme val="minor"/>
      </rPr>
      <t xml:space="preserve"> 和 ≥10</t>
    </r>
    <r>
      <rPr>
        <vertAlign val="superscript"/>
        <sz val="9"/>
        <rFont val="宋体"/>
        <family val="3"/>
        <charset val="134"/>
        <scheme val="minor"/>
      </rPr>
      <t>-4</t>
    </r>
    <r>
      <rPr>
        <sz val="9"/>
        <rFont val="宋体"/>
        <family val="3"/>
        <charset val="134"/>
        <scheme val="minor"/>
      </rPr>
      <t>；</t>
    </r>
    <phoneticPr fontId="29" type="noConversion"/>
  </si>
  <si>
    <t>3.RPN值40+，高风险：不可接受，必须裁切措施降低风险；</t>
    <phoneticPr fontId="29" type="noConversion"/>
  </si>
  <si>
    <r>
      <t>5.经常：≥10</t>
    </r>
    <r>
      <rPr>
        <vertAlign val="superscript"/>
        <sz val="9"/>
        <rFont val="宋体"/>
        <family val="3"/>
        <charset val="134"/>
        <scheme val="minor"/>
      </rPr>
      <t>-3</t>
    </r>
    <phoneticPr fontId="29" type="noConversion"/>
  </si>
  <si>
    <t>当风险严重度≥3时， 根据风险严重度准则的定义已经造成了伤害，因此无论风险指数是否可以接受，都需要强制确保风险通过存在的设计控制或建议措施来降低风险发生概率或探测度；</t>
    <phoneticPr fontId="29" type="noConversion"/>
  </si>
  <si>
    <t>Print Labels</t>
    <phoneticPr fontId="29" type="noConversion"/>
  </si>
  <si>
    <t>Label printing based on product DHR information.</t>
    <phoneticPr fontId="29" type="noConversion"/>
  </si>
  <si>
    <t>Label format printed incorrectly.</t>
    <phoneticPr fontId="29" type="noConversion"/>
  </si>
  <si>
    <t>Incomplete information, inconvenient use, prolonged operation time.</t>
    <phoneticPr fontId="29" type="noConversion"/>
  </si>
  <si>
    <t>1.Printer parameters set incorrectly.
2.Blank label used incorrectly, template used incorrectly.
3.Printer Exception.</t>
    <phoneticPr fontId="29" type="noConversion"/>
  </si>
  <si>
    <t>1.Print parameters are verified and printer is spot-checked daily.
2.Performing on-the-job training for personnel, fixing label template, binding between internal control number and template, countersignature and review of database.
3.Print device timing maintenance.</t>
    <phoneticPr fontId="29" type="noConversion"/>
  </si>
  <si>
    <t>3.Label printed incorrectly.</t>
    <phoneticPr fontId="95" type="noConversion"/>
  </si>
  <si>
    <t>Incorrect use of device causing injury to patient.</t>
    <phoneticPr fontId="95" type="noConversion"/>
  </si>
  <si>
    <t>1.DHR Error.
2.Label template information error,label template selection error.
3.Print person information entry error.</t>
    <phoneticPr fontId="95" type="noConversion"/>
  </si>
  <si>
    <t>1.Operators visually check label quality.
2.First article confirmation of each batch of labels.
3.Final inspection will spot check the packaged product.</t>
    <phoneticPr fontId="95" type="noConversion"/>
  </si>
  <si>
    <t>1.DHR reviewed and confirmed.
2.The label template requires countersignature confirmation, and the internal control number is system-bound to the template, with the database containing countersignature and review records..
3.Performing on-the-job training for personnel.</t>
    <phoneticPr fontId="95" type="noConversion"/>
  </si>
  <si>
    <t xml:space="preserve">Operate in accordance with the "Standard Operating Instruction for Label Printing and Confirmation"
</t>
    <phoneticPr fontId="95" type="noConversion"/>
  </si>
  <si>
    <t>1. Label template information error;
2. Label template selection error.</t>
    <phoneticPr fontId="95" type="noConversion"/>
  </si>
  <si>
    <t>Perform UDI barcode confirmation during the first article confirmation of each batch of labels.</t>
    <phoneticPr fontId="95" type="noConversion"/>
  </si>
  <si>
    <t>Operate in accordance with the "Standard Operating Instruction for Label Printing and Confirmation"</t>
    <phoneticPr fontId="95" type="noConversion"/>
  </si>
  <si>
    <t>1.Product Management Department</t>
    <phoneticPr fontId="95" type="noConversion"/>
  </si>
  <si>
    <r>
      <rPr>
        <sz val="9"/>
        <color theme="1"/>
        <rFont val="宋体"/>
        <family val="3"/>
        <charset val="134"/>
      </rPr>
      <t xml:space="preserve">
</t>
    </r>
    <r>
      <rPr>
        <sz val="9"/>
        <color theme="1"/>
        <rFont val="Times New Roman"/>
        <family val="1"/>
      </rPr>
      <t>Label printing obscured.</t>
    </r>
    <phoneticPr fontId="29" type="noConversion"/>
  </si>
  <si>
    <r>
      <t>4. UDI barcode information error</t>
    </r>
    <r>
      <rPr>
        <sz val="9"/>
        <color theme="1"/>
        <rFont val="等线"/>
        <family val="2"/>
        <charset val="134"/>
      </rPr>
      <t xml:space="preserve">
</t>
    </r>
    <phoneticPr fontId="95" type="noConversion"/>
  </si>
  <si>
    <r>
      <rPr>
        <sz val="9"/>
        <color theme="1"/>
        <rFont val="Times New Roman"/>
        <family val="1"/>
      </rPr>
      <t>Devices cannot normally enter the finished goods warehouse.</t>
    </r>
    <r>
      <rPr>
        <sz val="9"/>
        <rFont val="Arial"/>
        <family val="2"/>
      </rPr>
      <t xml:space="preserve">
</t>
    </r>
    <phoneticPr fontId="95" type="noConversion"/>
  </si>
  <si>
    <r>
      <t>1.</t>
    </r>
    <r>
      <rPr>
        <sz val="9"/>
        <rFont val="Times New Roman"/>
        <family val="1"/>
      </rPr>
      <t>The label template requires countersignature confirmation, and the internal control number is system-bound to the template, with the database containing countersignature and review records.</t>
    </r>
    <r>
      <rPr>
        <sz val="9"/>
        <rFont val="Arial"/>
        <family val="2"/>
      </rPr>
      <t xml:space="preserve">
2.</t>
    </r>
    <r>
      <rPr>
        <sz val="9"/>
        <color theme="1"/>
        <rFont val="Times New Roman"/>
        <family val="1"/>
      </rPr>
      <t>Performing on-the-job training for personnel.</t>
    </r>
    <phoneticPr fontId="95" type="noConversion"/>
  </si>
  <si>
    <r>
      <t xml:space="preserve">When the risk severity is </t>
    </r>
    <r>
      <rPr>
        <sz val="9"/>
        <rFont val="宋体"/>
        <family val="3"/>
        <charset val="134"/>
        <scheme val="minor"/>
      </rPr>
      <t xml:space="preserve">≥ </t>
    </r>
    <r>
      <rPr>
        <sz val="9"/>
        <rFont val="Times New Roman"/>
        <family val="1"/>
      </rPr>
      <t>3, according to the definition of the risk severity criterion, harm has already been caused. Therefore, regardless of whether the risk index is acceptable, it is necessary to forcibly ensure that the risk is reduced or measured through existing design controls or suggested measures to reduce the probability of risk occurrence;</t>
    </r>
    <phoneticPr fontId="29" type="noConversion"/>
  </si>
  <si>
    <t>1.CR00001695:
产品DHR模版增加“标签记录-UDI 条码验证详细说明记录 “QR-0913-004-005  Rev：A/0”，PFMEA中增加“UDI条码信息错误”的潜在失效模式识别；</t>
    <phoneticPr fontId="52" type="noConversion"/>
  </si>
  <si>
    <t>张洪源</t>
    <phoneticPr fontId="52" type="noConversion"/>
  </si>
  <si>
    <r>
      <rPr>
        <b/>
        <sz val="14"/>
        <color theme="1"/>
        <rFont val="宋体"/>
        <family val="3"/>
        <charset val="134"/>
      </rPr>
      <t>一次性胰胆成像导管过程失效模式及后果分析（</t>
    </r>
    <r>
      <rPr>
        <b/>
        <sz val="14"/>
        <color theme="1"/>
        <rFont val="Times New Roman"/>
        <family val="1"/>
      </rPr>
      <t>PFMEA)</t>
    </r>
    <r>
      <rPr>
        <b/>
        <sz val="14"/>
        <color theme="1"/>
        <rFont val="宋体"/>
        <family val="3"/>
        <charset val="134"/>
      </rPr>
      <t>（</t>
    </r>
    <r>
      <rPr>
        <b/>
        <sz val="14"/>
        <color theme="1"/>
        <rFont val="Times New Roman"/>
        <family val="1"/>
      </rPr>
      <t xml:space="preserve">G06 </t>
    </r>
    <r>
      <rPr>
        <b/>
        <sz val="14"/>
        <color theme="1"/>
        <rFont val="宋体"/>
        <family val="3"/>
        <charset val="134"/>
      </rPr>
      <t xml:space="preserve">欧盟）
</t>
    </r>
    <r>
      <rPr>
        <b/>
        <sz val="14"/>
        <color theme="1"/>
        <rFont val="Times New Roman"/>
        <family val="1"/>
      </rPr>
      <t xml:space="preserve">Single-use Video Pancreaticobiliary Scope PFMEA </t>
    </r>
    <r>
      <rPr>
        <b/>
        <sz val="14"/>
        <color theme="1"/>
        <rFont val="宋体"/>
        <family val="3"/>
        <charset val="134"/>
      </rPr>
      <t>（</t>
    </r>
    <r>
      <rPr>
        <b/>
        <sz val="14"/>
        <color theme="1"/>
        <rFont val="Times New Roman"/>
        <family val="1"/>
      </rPr>
      <t>G06 EU</t>
    </r>
    <r>
      <rPr>
        <b/>
        <sz val="14"/>
        <color theme="1"/>
        <rFont val="宋体"/>
        <family val="3"/>
        <charset val="134"/>
      </rPr>
      <t>）</t>
    </r>
    <phoneticPr fontId="29" type="noConversion"/>
  </si>
  <si>
    <r>
      <rPr>
        <b/>
        <sz val="20"/>
        <color rgb="FF000000"/>
        <rFont val="宋体"/>
        <family val="3"/>
        <charset val="134"/>
      </rPr>
      <t xml:space="preserve">一次性胰胆成像导管过程失效模式及后果分析（PFMEA)（G06 欧盟）
</t>
    </r>
    <r>
      <rPr>
        <b/>
        <sz val="20"/>
        <color rgb="FF000000"/>
        <rFont val="Times New Roman"/>
        <family val="1"/>
      </rPr>
      <t xml:space="preserve">Single-use Video Pancreaticobiliary Scope PFMEA </t>
    </r>
    <r>
      <rPr>
        <b/>
        <sz val="20"/>
        <color rgb="FF000000"/>
        <rFont val="宋体"/>
        <family val="3"/>
        <charset val="134"/>
      </rPr>
      <t>（</t>
    </r>
    <r>
      <rPr>
        <b/>
        <sz val="20"/>
        <color rgb="FF000000"/>
        <rFont val="Times New Roman"/>
        <family val="1"/>
      </rPr>
      <t>G06 EU</t>
    </r>
    <r>
      <rPr>
        <b/>
        <sz val="20"/>
        <color rgb="FF000000"/>
        <rFont val="宋体"/>
        <family val="3"/>
        <charset val="134"/>
      </rPr>
      <t>）</t>
    </r>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</si>
</sst>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
    <numFmt numFmtId="177" formatCode="00"/>
    <numFmt numFmtId="178" formatCode="\ @"/>
    <numFmt numFmtId="179" formatCode="@\ \ "/>
    <numFmt numFmtId="180" formatCode="[$-409]d\-mmm\-yy;@"/>
  </numFmts>
  <fonts count="107">
    <font>
      <sz val="10"/>
      <name val="Arial"/>
      <family val="2"/>
    </font>
    <font>
      <sz val="10"/>
      <name val="Arial"/>
      <family val="2"/>
    </font>
    <font>
      <sz val="11"/>
      <name val="Arial"/>
      <family val="2"/>
    </font>
    <font>
      <b/>
      <sz val="12"/>
      <name val="Arial"/>
      <family val="2"/>
    </font>
    <font>
      <sz val="10"/>
      <name val="Arial"/>
      <family val="2"/>
    </font>
    <font>
      <sz val="8"/>
      <name val="Arial"/>
      <family val="2"/>
    </font>
    <font>
      <b/>
      <sz val="10"/>
      <name val="Arial"/>
      <family val="2"/>
    </font>
    <font>
      <b/>
      <sz val="8"/>
      <color indexed="81"/>
      <name val="Tahoma"/>
      <family val="2"/>
    </font>
    <font>
      <sz val="8"/>
      <name val="Arial"/>
      <family val="2"/>
    </font>
    <font>
      <sz val="9"/>
      <name val="Arial"/>
      <family val="2"/>
    </font>
    <font>
      <b/>
      <sz val="14"/>
      <name val="Arial"/>
      <family val="2"/>
    </font>
    <font>
      <sz val="8"/>
      <name val="Helv"/>
      <family val="2"/>
    </font>
    <font>
      <sz val="24"/>
      <name val="Times New Roman"/>
      <family val="1"/>
    </font>
    <font>
      <b/>
      <i/>
      <sz val="14"/>
      <color indexed="8"/>
      <name val="Arial"/>
      <family val="2"/>
    </font>
    <font>
      <sz val="11"/>
      <name val="Arial"/>
      <family val="2"/>
    </font>
    <font>
      <b/>
      <sz val="10"/>
      <color indexed="8"/>
      <name val="Arial"/>
      <family val="2"/>
    </font>
    <font>
      <b/>
      <sz val="12"/>
      <color indexed="8"/>
      <name val="Arial"/>
      <family val="2"/>
    </font>
    <font>
      <b/>
      <sz val="11"/>
      <name val="Arial"/>
      <family val="2"/>
    </font>
    <font>
      <sz val="8"/>
      <color indexed="18"/>
      <name val="Arial"/>
      <family val="2"/>
    </font>
    <font>
      <b/>
      <sz val="10"/>
      <color indexed="18"/>
      <name val="Arial"/>
      <family val="2"/>
    </font>
    <font>
      <sz val="11"/>
      <color indexed="18"/>
      <name val="Arial"/>
      <family val="2"/>
    </font>
    <font>
      <sz val="10"/>
      <name val="Times New Roman"/>
      <family val="1"/>
    </font>
    <font>
      <b/>
      <sz val="14"/>
      <name val="Times New Roman"/>
      <family val="1"/>
    </font>
    <font>
      <b/>
      <sz val="14"/>
      <color indexed="8"/>
      <name val="Arial"/>
      <family val="2"/>
    </font>
    <font>
      <b/>
      <sz val="16"/>
      <color indexed="9"/>
      <name val="Arial"/>
      <family val="2"/>
    </font>
    <font>
      <b/>
      <sz val="10"/>
      <color indexed="9"/>
      <name val="Arial"/>
      <family val="2"/>
    </font>
    <font>
      <sz val="8"/>
      <color indexed="81"/>
      <name val="Tahoma"/>
      <family val="2"/>
    </font>
    <font>
      <b/>
      <sz val="10"/>
      <color indexed="10"/>
      <name val="Arial"/>
      <family val="2"/>
    </font>
    <font>
      <sz val="9"/>
      <color indexed="18"/>
      <name val="Arial"/>
      <family val="2"/>
    </font>
    <font>
      <sz val="9"/>
      <name val="宋体"/>
      <family val="3"/>
      <charset val="134"/>
    </font>
    <font>
      <sz val="10"/>
      <name val="宋体"/>
      <family val="3"/>
      <charset val="134"/>
    </font>
    <font>
      <sz val="10"/>
      <color indexed="8"/>
      <name val="Arial"/>
      <family val="2"/>
    </font>
    <font>
      <sz val="11"/>
      <color indexed="8"/>
      <name val="宋体"/>
      <family val="3"/>
      <charset val="134"/>
    </font>
    <font>
      <sz val="11"/>
      <color indexed="9"/>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8"/>
      <color rgb="FF000000"/>
      <name val="Tahoma"/>
      <family val="2"/>
    </font>
    <font>
      <sz val="12"/>
      <name val="宋体"/>
      <family val="3"/>
      <charset val="134"/>
    </font>
    <font>
      <sz val="11"/>
      <color theme="1"/>
      <name val="宋体"/>
      <family val="3"/>
      <charset val="134"/>
      <scheme val="minor"/>
    </font>
    <font>
      <sz val="9"/>
      <name val="宋体"/>
      <family val="3"/>
      <charset val="134"/>
      <scheme val="minor"/>
    </font>
    <font>
      <sz val="8"/>
      <name val="宋体"/>
      <family val="3"/>
      <charset val="134"/>
    </font>
    <font>
      <sz val="10"/>
      <name val="长仿宋体"/>
      <family val="3"/>
      <charset val="134"/>
    </font>
    <font>
      <b/>
      <sz val="14"/>
      <name val="宋体"/>
      <family val="3"/>
      <charset val="134"/>
      <scheme val="minor"/>
    </font>
    <font>
      <sz val="12"/>
      <name val="新細明體"/>
      <family val="1"/>
      <charset val="136"/>
    </font>
    <font>
      <u/>
      <sz val="12"/>
      <name val="宋体"/>
      <family val="3"/>
      <charset val="134"/>
    </font>
    <font>
      <u/>
      <sz val="12"/>
      <name val="Times New Roman"/>
      <family val="1"/>
    </font>
    <font>
      <sz val="12"/>
      <color indexed="8"/>
      <name val="宋体"/>
      <family val="3"/>
      <charset val="134"/>
    </font>
    <font>
      <sz val="16"/>
      <color indexed="8"/>
      <name val="宋体"/>
      <family val="3"/>
      <charset val="134"/>
    </font>
    <font>
      <sz val="10"/>
      <color theme="1"/>
      <name val="Times New Roman"/>
      <family val="1"/>
    </font>
    <font>
      <sz val="10"/>
      <color theme="1"/>
      <name val="宋体"/>
      <family val="3"/>
      <charset val="134"/>
    </font>
    <font>
      <b/>
      <sz val="18"/>
      <color theme="1"/>
      <name val="宋体"/>
      <family val="3"/>
      <charset val="134"/>
    </font>
    <font>
      <sz val="12"/>
      <color theme="1"/>
      <name val="Times New Roman"/>
      <family val="1"/>
    </font>
    <font>
      <sz val="12"/>
      <color theme="1"/>
      <name val="宋体"/>
      <family val="3"/>
      <charset val="134"/>
    </font>
    <font>
      <sz val="11"/>
      <name val="宋体"/>
      <family val="3"/>
      <charset val="134"/>
      <scheme val="minor"/>
    </font>
    <font>
      <sz val="10"/>
      <color indexed="8"/>
      <name val="宋体"/>
      <family val="3"/>
      <charset val="134"/>
    </font>
    <font>
      <sz val="10"/>
      <color rgb="FF000000"/>
      <name val="宋体"/>
      <family val="3"/>
      <charset val="134"/>
    </font>
    <font>
      <sz val="10"/>
      <color theme="1"/>
      <name val="宋体"/>
      <family val="3"/>
      <charset val="134"/>
      <scheme val="minor"/>
    </font>
    <font>
      <sz val="8"/>
      <name val="宋体"/>
      <family val="3"/>
      <charset val="134"/>
      <scheme val="major"/>
    </font>
    <font>
      <sz val="10"/>
      <name val="宋体"/>
      <family val="3"/>
      <charset val="134"/>
      <scheme val="major"/>
    </font>
    <font>
      <sz val="11"/>
      <name val="宋体"/>
      <family val="3"/>
      <charset val="134"/>
      <scheme val="major"/>
    </font>
    <font>
      <sz val="9"/>
      <name val="Times New Roman"/>
      <family val="1"/>
    </font>
    <font>
      <sz val="9"/>
      <color theme="1"/>
      <name val="宋体"/>
      <family val="3"/>
      <charset val="134"/>
    </font>
    <font>
      <sz val="9"/>
      <color theme="1"/>
      <name val="Arial"/>
      <family val="2"/>
    </font>
    <font>
      <sz val="8"/>
      <name val="Times New Roman"/>
      <family val="1"/>
    </font>
    <font>
      <vertAlign val="superscript"/>
      <sz val="9"/>
      <name val="Times New Roman"/>
      <family val="1"/>
    </font>
    <font>
      <vertAlign val="superscript"/>
      <sz val="9"/>
      <name val="宋体"/>
      <family val="3"/>
      <charset val="134"/>
    </font>
    <font>
      <sz val="12"/>
      <name val="Times New Roman"/>
      <family val="1"/>
    </font>
    <font>
      <sz val="12"/>
      <color indexed="8"/>
      <name val="Times New Roman"/>
      <family val="1"/>
    </font>
    <font>
      <b/>
      <sz val="12"/>
      <name val="Times New Roman"/>
      <family val="1"/>
    </font>
    <font>
      <b/>
      <sz val="18"/>
      <color theme="1"/>
      <name val="Times New Roman"/>
      <family val="1"/>
    </font>
    <font>
      <sz val="11"/>
      <name val="Times New Roman"/>
      <family val="1"/>
    </font>
    <font>
      <sz val="9"/>
      <color theme="1"/>
      <name val="Times New Roman"/>
      <family val="1"/>
    </font>
    <font>
      <b/>
      <sz val="14"/>
      <name val="宋体"/>
      <family val="3"/>
      <charset val="134"/>
    </font>
    <font>
      <b/>
      <sz val="14"/>
      <color theme="1"/>
      <name val="宋体"/>
      <family val="3"/>
      <charset val="134"/>
    </font>
    <font>
      <sz val="11"/>
      <color indexed="8"/>
      <name val="Times New Roman"/>
      <family val="1"/>
    </font>
    <font>
      <sz val="10"/>
      <color indexed="8"/>
      <name val="Times New Roman"/>
      <family val="1"/>
    </font>
    <font>
      <sz val="10"/>
      <color rgb="FF000000"/>
      <name val="微软雅黑"/>
      <family val="2"/>
      <charset val="134"/>
    </font>
    <font>
      <sz val="10"/>
      <color theme="1"/>
      <name val="微软雅黑"/>
      <family val="2"/>
      <charset val="134"/>
    </font>
    <font>
      <b/>
      <sz val="12"/>
      <color theme="1"/>
      <name val="Times New Roman"/>
      <family val="1"/>
    </font>
    <font>
      <b/>
      <sz val="16"/>
      <color theme="1"/>
      <name val="Times New Roman"/>
      <family val="1"/>
    </font>
    <font>
      <b/>
      <sz val="14"/>
      <color indexed="8"/>
      <name val="Times New Roman"/>
      <family val="1"/>
    </font>
    <font>
      <b/>
      <sz val="14"/>
      <color theme="1"/>
      <name val="Times New Roman"/>
      <family val="1"/>
    </font>
    <font>
      <sz val="9"/>
      <name val="宋体"/>
      <family val="2"/>
      <charset val="134"/>
      <scheme val="minor"/>
    </font>
    <font>
      <sz val="9"/>
      <color theme="1"/>
      <name val="Times New Roman"/>
      <family val="3"/>
      <charset val="134"/>
    </font>
    <font>
      <i/>
      <sz val="9"/>
      <color theme="4"/>
      <name val="宋体"/>
      <family val="3"/>
      <charset val="134"/>
    </font>
    <font>
      <sz val="9"/>
      <color theme="1"/>
      <name val="等线"/>
      <family val="2"/>
      <charset val="134"/>
    </font>
    <font>
      <sz val="8"/>
      <name val="宋体"/>
      <family val="3"/>
      <charset val="134"/>
      <scheme val="minor"/>
    </font>
    <font>
      <vertAlign val="superscript"/>
      <sz val="9"/>
      <name val="宋体"/>
      <family val="3"/>
      <charset val="134"/>
      <scheme val="minor"/>
    </font>
    <font>
      <sz val="10"/>
      <name val="宋体"/>
      <family val="3"/>
      <charset val="134"/>
      <scheme val="minor"/>
    </font>
    <font>
      <sz val="12"/>
      <name val="宋体"/>
      <family val="3"/>
      <charset val="134"/>
      <scheme val="minor"/>
    </font>
    <font>
      <sz val="9"/>
      <name val="Arial"/>
      <family val="1"/>
    </font>
    <font>
      <b/>
      <sz val="14"/>
      <color theme="1"/>
      <name val="Times New Roman"/>
      <family val="3"/>
      <charset val="134"/>
    </font>
    <font>
      <b/>
      <sz val="20"/>
      <color rgb="FF000000"/>
      <name val="宋体"/>
      <family val="3"/>
      <charset val="134"/>
    </font>
    <font>
      <b/>
      <sz val="20"/>
      <color rgb="FF000000"/>
      <name val="Times New Roman"/>
      <family val="1"/>
    </font>
  </fonts>
  <fills count="4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65"/>
        <bgColor indexed="64"/>
      </patternFill>
    </fill>
    <fill>
      <patternFill patternType="solid">
        <fgColor indexed="47"/>
        <bgColor indexed="64"/>
      </patternFill>
    </fill>
    <fill>
      <patternFill patternType="solid">
        <fgColor indexed="9"/>
        <bgColor indexed="64"/>
      </patternFill>
    </fill>
    <fill>
      <patternFill patternType="solid">
        <fgColor indexed="31"/>
        <bgColor indexed="64"/>
      </patternFill>
    </fill>
    <fill>
      <patternFill patternType="solid">
        <fgColor indexed="13"/>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12">
    <xf numFmtId="0" fontId="0" fillId="0" borderId="0"/>
    <xf numFmtId="0" fontId="32" fillId="2" borderId="0" applyNumberFormat="0" applyBorder="0" applyAlignment="0" applyProtection="0">
      <alignment vertical="center"/>
    </xf>
    <xf numFmtId="0" fontId="32" fillId="3" borderId="0" applyNumberFormat="0" applyBorder="0" applyAlignment="0" applyProtection="0">
      <alignment vertical="center"/>
    </xf>
    <xf numFmtId="0" fontId="32" fillId="4" borderId="0" applyNumberFormat="0" applyBorder="0" applyAlignment="0" applyProtection="0">
      <alignment vertical="center"/>
    </xf>
    <xf numFmtId="0" fontId="32" fillId="5" borderId="0" applyNumberFormat="0" applyBorder="0" applyAlignment="0" applyProtection="0">
      <alignment vertical="center"/>
    </xf>
    <xf numFmtId="0" fontId="32" fillId="6"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5" borderId="0" applyNumberFormat="0" applyBorder="0" applyAlignment="0" applyProtection="0">
      <alignment vertical="center"/>
    </xf>
    <xf numFmtId="0" fontId="32" fillId="8"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9" borderId="0" applyNumberFormat="0" applyBorder="0" applyAlignment="0" applyProtection="0">
      <alignment vertical="center"/>
    </xf>
    <xf numFmtId="0" fontId="33" fillId="10"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11" fillId="0" borderId="1" applyBorder="0" applyAlignment="0">
      <alignment horizontal="left" vertical="center"/>
      <protection locked="0"/>
    </xf>
    <xf numFmtId="0" fontId="1" fillId="0" borderId="0"/>
    <xf numFmtId="0" fontId="2" fillId="0" borderId="0"/>
    <xf numFmtId="0" fontId="1" fillId="0" borderId="0"/>
    <xf numFmtId="0" fontId="12" fillId="0" borderId="1" applyNumberFormat="0" applyFill="0" applyBorder="0" applyProtection="0">
      <alignment horizontal="center" vertical="center"/>
      <protection locked="0"/>
    </xf>
    <xf numFmtId="0" fontId="34" fillId="0" borderId="0" applyNumberFormat="0" applyFill="0" applyBorder="0" applyAlignment="0" applyProtection="0">
      <alignment vertical="center"/>
    </xf>
    <xf numFmtId="0" fontId="35" fillId="0" borderId="2" applyNumberFormat="0" applyFill="0" applyAlignment="0" applyProtection="0">
      <alignment vertical="center"/>
    </xf>
    <xf numFmtId="0" fontId="36" fillId="0" borderId="3" applyNumberFormat="0" applyFill="0" applyAlignment="0" applyProtection="0">
      <alignment vertical="center"/>
    </xf>
    <xf numFmtId="0" fontId="37" fillId="0" borderId="4" applyNumberFormat="0" applyFill="0" applyAlignment="0" applyProtection="0">
      <alignment vertical="center"/>
    </xf>
    <xf numFmtId="0" fontId="37" fillId="0" borderId="0" applyNumberFormat="0" applyFill="0" applyBorder="0" applyAlignment="0" applyProtection="0">
      <alignment vertical="center"/>
    </xf>
    <xf numFmtId="0" fontId="38" fillId="3" borderId="0" applyNumberFormat="0" applyBorder="0" applyAlignment="0" applyProtection="0">
      <alignment vertical="center"/>
    </xf>
    <xf numFmtId="0" fontId="39" fillId="4" borderId="0" applyNumberFormat="0" applyBorder="0" applyAlignment="0" applyProtection="0">
      <alignment vertical="center"/>
    </xf>
    <xf numFmtId="0" fontId="40" fillId="0" borderId="5" applyNumberFormat="0" applyFill="0" applyAlignment="0" applyProtection="0">
      <alignment vertical="center"/>
    </xf>
    <xf numFmtId="0" fontId="41" fillId="16" borderId="6" applyNumberFormat="0" applyAlignment="0" applyProtection="0">
      <alignment vertical="center"/>
    </xf>
    <xf numFmtId="0" fontId="42" fillId="17" borderId="7" applyNumberForma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8" applyNumberFormat="0" applyFill="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3" fillId="21" borderId="0" applyNumberFormat="0" applyBorder="0" applyAlignment="0" applyProtection="0">
      <alignment vertical="center"/>
    </xf>
    <xf numFmtId="0" fontId="46" fillId="22" borderId="0" applyNumberFormat="0" applyBorder="0" applyAlignment="0" applyProtection="0">
      <alignment vertical="center"/>
    </xf>
    <xf numFmtId="0" fontId="47" fillId="16" borderId="9" applyNumberFormat="0" applyAlignment="0" applyProtection="0">
      <alignment vertical="center"/>
    </xf>
    <xf numFmtId="0" fontId="48" fillId="7" borderId="6" applyNumberFormat="0" applyAlignment="0" applyProtection="0">
      <alignment vertical="center"/>
    </xf>
    <xf numFmtId="0" fontId="4" fillId="23" borderId="10" applyNumberFormat="0" applyFont="0" applyAlignment="0" applyProtection="0">
      <alignment vertical="center"/>
    </xf>
    <xf numFmtId="0" fontId="50" fillId="0" borderId="0">
      <alignment vertical="center"/>
    </xf>
    <xf numFmtId="0" fontId="51" fillId="0" borderId="0">
      <alignment vertical="center"/>
    </xf>
    <xf numFmtId="0" fontId="32" fillId="27"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2" fillId="25"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1" borderId="0" applyNumberFormat="0" applyBorder="0" applyAlignment="0" applyProtection="0">
      <alignment vertical="center"/>
    </xf>
    <xf numFmtId="0" fontId="32" fillId="33"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3"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5" fillId="0" borderId="2" applyNumberFormat="0" applyFill="0" applyAlignment="0" applyProtection="0">
      <alignment vertical="center"/>
    </xf>
    <xf numFmtId="0" fontId="36" fillId="0" borderId="3" applyNumberFormat="0" applyFill="0" applyAlignment="0" applyProtection="0">
      <alignment vertical="center"/>
    </xf>
    <xf numFmtId="0" fontId="37" fillId="0" borderId="4" applyNumberFormat="0" applyFill="0" applyAlignment="0" applyProtection="0">
      <alignment vertical="center"/>
    </xf>
    <xf numFmtId="0" fontId="37"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8" fillId="29" borderId="0" applyNumberFormat="0" applyBorder="0" applyAlignment="0" applyProtection="0">
      <alignment vertical="center"/>
    </xf>
    <xf numFmtId="0" fontId="38" fillId="29" borderId="0" applyNumberFormat="0" applyBorder="0" applyAlignment="0" applyProtection="0">
      <alignment vertical="center"/>
    </xf>
    <xf numFmtId="0" fontId="38" fillId="29" borderId="0" applyProtection="0">
      <alignment vertical="center"/>
    </xf>
    <xf numFmtId="0" fontId="38" fillId="29" borderId="0" applyNumberFormat="0" applyBorder="0" applyAlignment="0" applyProtection="0">
      <alignment vertical="center"/>
    </xf>
    <xf numFmtId="0" fontId="38" fillId="29" borderId="0" applyProtection="0">
      <alignment vertical="center"/>
    </xf>
    <xf numFmtId="0" fontId="38" fillId="29" borderId="0" applyNumberFormat="0" applyBorder="0" applyAlignment="0" applyProtection="0">
      <alignment vertical="center"/>
    </xf>
    <xf numFmtId="0" fontId="38" fillId="29" borderId="0" applyProtection="0">
      <alignment vertical="center"/>
    </xf>
    <xf numFmtId="0" fontId="50" fillId="0" borderId="0" applyProtection="0">
      <alignment vertical="center"/>
    </xf>
    <xf numFmtId="0" fontId="50" fillId="0" borderId="0"/>
    <xf numFmtId="0" fontId="32" fillId="0" borderId="0">
      <alignment vertical="center"/>
    </xf>
    <xf numFmtId="0" fontId="32" fillId="0" borderId="0" applyProtection="0">
      <alignment vertical="center"/>
    </xf>
    <xf numFmtId="0" fontId="32" fillId="0" borderId="0">
      <alignment vertical="center"/>
    </xf>
    <xf numFmtId="0" fontId="39" fillId="30" borderId="0" applyNumberFormat="0" applyBorder="0" applyAlignment="0" applyProtection="0">
      <alignment vertical="center"/>
    </xf>
    <xf numFmtId="0" fontId="39" fillId="30" borderId="0" applyNumberFormat="0" applyBorder="0" applyAlignment="0" applyProtection="0">
      <alignment vertical="center"/>
    </xf>
    <xf numFmtId="0" fontId="39" fillId="30" borderId="0" applyProtection="0">
      <alignment vertical="center"/>
    </xf>
    <xf numFmtId="0" fontId="39" fillId="30" borderId="0" applyNumberFormat="0" applyBorder="0" applyAlignment="0" applyProtection="0">
      <alignment vertical="center"/>
    </xf>
    <xf numFmtId="0" fontId="39" fillId="30" borderId="0" applyProtection="0">
      <alignment vertical="center"/>
    </xf>
    <xf numFmtId="0" fontId="39" fillId="30" borderId="0" applyNumberFormat="0" applyBorder="0" applyAlignment="0" applyProtection="0">
      <alignment vertical="center"/>
    </xf>
    <xf numFmtId="0" fontId="39" fillId="30" borderId="0" applyProtection="0">
      <alignment vertical="center"/>
    </xf>
    <xf numFmtId="0" fontId="40" fillId="0" borderId="5" applyNumberFormat="0" applyFill="0" applyAlignment="0" applyProtection="0">
      <alignment vertical="center"/>
    </xf>
    <xf numFmtId="0" fontId="41" fillId="41" borderId="6" applyNumberFormat="0" applyAlignment="0" applyProtection="0">
      <alignment vertical="center"/>
    </xf>
    <xf numFmtId="0" fontId="42" fillId="42" borderId="7" applyNumberForma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8" applyNumberFormat="0" applyFill="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38" borderId="0" applyNumberFormat="0" applyBorder="0" applyAlignment="0" applyProtection="0">
      <alignment vertical="center"/>
    </xf>
    <xf numFmtId="0" fontId="33" fillId="39" borderId="0" applyNumberFormat="0" applyBorder="0" applyAlignment="0" applyProtection="0">
      <alignment vertical="center"/>
    </xf>
    <xf numFmtId="0" fontId="33" fillId="46" borderId="0" applyNumberFormat="0" applyBorder="0" applyAlignment="0" applyProtection="0">
      <alignment vertical="center"/>
    </xf>
    <xf numFmtId="0" fontId="46" fillId="47" borderId="0" applyNumberFormat="0" applyBorder="0" applyAlignment="0" applyProtection="0">
      <alignment vertical="center"/>
    </xf>
    <xf numFmtId="0" fontId="47" fillId="41" borderId="9" applyNumberFormat="0" applyAlignment="0" applyProtection="0">
      <alignment vertical="center"/>
    </xf>
    <xf numFmtId="0" fontId="48" fillId="25" borderId="6" applyNumberFormat="0" applyAlignment="0" applyProtection="0">
      <alignment vertical="center"/>
    </xf>
    <xf numFmtId="0" fontId="56" fillId="0" borderId="0"/>
    <xf numFmtId="0" fontId="32" fillId="48" borderId="10" applyNumberFormat="0" applyFont="0" applyAlignment="0" applyProtection="0">
      <alignment vertical="center"/>
    </xf>
    <xf numFmtId="0" fontId="50" fillId="0" borderId="0"/>
    <xf numFmtId="180" fontId="50" fillId="0" borderId="0">
      <alignment vertical="center"/>
    </xf>
    <xf numFmtId="0" fontId="50" fillId="0" borderId="0">
      <alignment vertical="center"/>
    </xf>
    <xf numFmtId="0" fontId="32" fillId="0" borderId="0">
      <alignment vertical="center"/>
    </xf>
  </cellStyleXfs>
  <cellXfs count="382">
    <xf numFmtId="0" fontId="0" fillId="0" borderId="0" xfId="0"/>
    <xf numFmtId="0" fontId="10" fillId="0" borderId="0" xfId="0" applyFont="1" applyAlignment="1">
      <alignment horizontal="center"/>
    </xf>
    <xf numFmtId="0" fontId="0" fillId="0" borderId="0" xfId="0" applyAlignment="1">
      <alignment vertical="center"/>
    </xf>
    <xf numFmtId="15" fontId="6" fillId="0" borderId="0" xfId="22" applyNumberFormat="1" applyFont="1" applyAlignment="1">
      <alignment horizontal="left" wrapText="1"/>
    </xf>
    <xf numFmtId="2" fontId="6" fillId="0" borderId="0" xfId="22" applyNumberFormat="1" applyFont="1" applyAlignment="1">
      <alignment horizontal="left" wrapText="1"/>
    </xf>
    <xf numFmtId="0" fontId="6" fillId="0" borderId="0" xfId="22" applyFont="1" applyAlignment="1">
      <alignment horizontal="left" wrapText="1"/>
    </xf>
    <xf numFmtId="15" fontId="1" fillId="0" borderId="0" xfId="22" applyNumberFormat="1" applyFont="1" applyAlignment="1">
      <alignment horizontal="left" vertical="top" wrapText="1"/>
    </xf>
    <xf numFmtId="2" fontId="1" fillId="0" borderId="0" xfId="22" applyNumberFormat="1" applyAlignment="1">
      <alignment horizontal="left" vertical="top" wrapText="1"/>
    </xf>
    <xf numFmtId="0" fontId="1" fillId="0" borderId="0" xfId="22" applyFont="1" applyAlignment="1">
      <alignment horizontal="left" vertical="top" wrapText="1"/>
    </xf>
    <xf numFmtId="0" fontId="1" fillId="0" borderId="0" xfId="22" applyAlignment="1">
      <alignment horizontal="left" vertical="top" wrapText="1"/>
    </xf>
    <xf numFmtId="15" fontId="1" fillId="0" borderId="0" xfId="22" applyNumberFormat="1" applyAlignment="1">
      <alignment horizontal="left" vertical="top" wrapText="1"/>
    </xf>
    <xf numFmtId="2" fontId="1" fillId="0" borderId="0" xfId="22" applyNumberFormat="1" applyFont="1" applyAlignment="1">
      <alignment horizontal="left" vertical="top" wrapText="1"/>
    </xf>
    <xf numFmtId="2" fontId="1" fillId="0" borderId="0" xfId="22" quotePrefix="1" applyNumberFormat="1" applyFont="1" applyAlignment="1">
      <alignment horizontal="left" vertical="top" wrapText="1"/>
    </xf>
    <xf numFmtId="0" fontId="6" fillId="0" borderId="0" xfId="0" applyFont="1"/>
    <xf numFmtId="0" fontId="14" fillId="0" borderId="0" xfId="21" applyFont="1" applyAlignment="1">
      <alignment vertical="top"/>
    </xf>
    <xf numFmtId="0" fontId="14" fillId="0" borderId="0" xfId="21" applyFont="1"/>
    <xf numFmtId="177" fontId="18" fillId="24" borderId="0" xfId="21" applyNumberFormat="1" applyFont="1" applyFill="1" applyBorder="1" applyAlignment="1">
      <alignment horizontal="center" wrapText="1"/>
    </xf>
    <xf numFmtId="0" fontId="2" fillId="24" borderId="0" xfId="21" applyFill="1"/>
    <xf numFmtId="177" fontId="18" fillId="24" borderId="0" xfId="21" applyNumberFormat="1" applyFont="1" applyFill="1" applyAlignment="1"/>
    <xf numFmtId="0" fontId="14" fillId="24" borderId="0" xfId="21" applyFont="1" applyFill="1" applyAlignment="1">
      <alignment wrapText="1"/>
    </xf>
    <xf numFmtId="0" fontId="4" fillId="24" borderId="0" xfId="21" applyFont="1" applyFill="1" applyAlignment="1">
      <alignment wrapText="1"/>
    </xf>
    <xf numFmtId="0" fontId="4" fillId="24" borderId="0" xfId="21" applyNumberFormat="1" applyFont="1" applyFill="1" applyAlignment="1">
      <alignment wrapText="1"/>
    </xf>
    <xf numFmtId="177" fontId="18" fillId="24" borderId="0" xfId="21" applyNumberFormat="1" applyFont="1" applyFill="1" applyAlignment="1">
      <alignment wrapText="1"/>
    </xf>
    <xf numFmtId="0" fontId="20" fillId="24" borderId="0" xfId="21" applyFont="1" applyFill="1"/>
    <xf numFmtId="0" fontId="5" fillId="24" borderId="0" xfId="21" applyFont="1" applyFill="1" applyAlignment="1">
      <alignment wrapText="1"/>
    </xf>
    <xf numFmtId="0" fontId="2" fillId="24" borderId="0" xfId="21" applyFill="1" applyAlignment="1">
      <alignment wrapText="1"/>
    </xf>
    <xf numFmtId="0" fontId="4" fillId="0" borderId="0" xfId="21" applyFont="1"/>
    <xf numFmtId="0" fontId="4" fillId="0" borderId="0" xfId="21" applyFont="1" applyAlignment="1">
      <alignment vertical="top"/>
    </xf>
    <xf numFmtId="0" fontId="14" fillId="26" borderId="0" xfId="21" applyFont="1" applyFill="1" applyAlignment="1" applyProtection="1">
      <alignment horizontal="left"/>
      <protection locked="0"/>
    </xf>
    <xf numFmtId="0" fontId="25" fillId="26" borderId="0" xfId="21" applyFont="1" applyFill="1" applyBorder="1" applyAlignment="1" applyProtection="1">
      <alignment horizontal="centerContinuous"/>
      <protection locked="0"/>
    </xf>
    <xf numFmtId="0" fontId="4" fillId="26" borderId="0" xfId="21" applyFont="1" applyFill="1" applyAlignment="1" applyProtection="1">
      <protection locked="0"/>
    </xf>
    <xf numFmtId="0" fontId="25" fillId="26" borderId="0" xfId="21" applyFont="1" applyFill="1" applyBorder="1" applyAlignment="1" applyProtection="1">
      <alignment horizontal="left"/>
      <protection locked="0"/>
    </xf>
    <xf numFmtId="0" fontId="14" fillId="26" borderId="14" xfId="21" applyFont="1" applyFill="1" applyBorder="1" applyAlignment="1" applyProtection="1">
      <alignment horizontal="left"/>
      <protection locked="0"/>
    </xf>
    <xf numFmtId="0" fontId="4" fillId="26" borderId="14" xfId="21" applyFont="1" applyFill="1" applyBorder="1" applyAlignment="1" applyProtection="1">
      <alignment horizontal="right"/>
      <protection locked="0"/>
    </xf>
    <xf numFmtId="1" fontId="6" fillId="26" borderId="14" xfId="21" applyNumberFormat="1" applyFont="1" applyFill="1" applyBorder="1" applyAlignment="1" applyProtection="1">
      <alignment horizontal="left"/>
    </xf>
    <xf numFmtId="0" fontId="5" fillId="26" borderId="14" xfId="21" applyFont="1" applyFill="1" applyBorder="1" applyProtection="1">
      <protection locked="0"/>
    </xf>
    <xf numFmtId="0" fontId="25" fillId="26" borderId="14" xfId="21" applyFont="1" applyFill="1" applyBorder="1" applyAlignment="1" applyProtection="1">
      <alignment horizontal="centerContinuous"/>
      <protection locked="0"/>
    </xf>
    <xf numFmtId="0" fontId="4" fillId="26" borderId="14" xfId="21" applyFont="1" applyFill="1" applyBorder="1" applyAlignment="1" applyProtection="1">
      <protection locked="0"/>
    </xf>
    <xf numFmtId="0" fontId="3" fillId="0" borderId="0" xfId="21" applyFont="1"/>
    <xf numFmtId="0" fontId="2" fillId="0" borderId="0" xfId="21"/>
    <xf numFmtId="0" fontId="15" fillId="26" borderId="0" xfId="21" applyNumberFormat="1" applyFont="1" applyFill="1" applyBorder="1" applyAlignment="1" applyProtection="1">
      <alignment horizontal="left"/>
    </xf>
    <xf numFmtId="0" fontId="3" fillId="26" borderId="1" xfId="21" applyFont="1" applyFill="1" applyBorder="1" applyAlignment="1">
      <alignment horizontal="center" vertical="center" wrapText="1"/>
    </xf>
    <xf numFmtId="0" fontId="6" fillId="26" borderId="1" xfId="21" applyFont="1" applyFill="1" applyBorder="1" applyAlignment="1">
      <alignment horizontal="center" vertical="center" wrapText="1"/>
    </xf>
    <xf numFmtId="0" fontId="3" fillId="0" borderId="1" xfId="21" applyFont="1" applyBorder="1" applyAlignment="1">
      <alignment horizontal="center" vertical="center" wrapText="1"/>
    </xf>
    <xf numFmtId="0" fontId="17" fillId="0" borderId="1" xfId="21" applyFont="1" applyBorder="1" applyAlignment="1">
      <alignment horizontal="center" vertical="center" wrapText="1"/>
    </xf>
    <xf numFmtId="0" fontId="2" fillId="0" borderId="1" xfId="21" applyBorder="1" applyAlignment="1">
      <alignment horizontal="center" vertical="center"/>
    </xf>
    <xf numFmtId="0" fontId="14" fillId="0" borderId="1" xfId="21" applyFont="1" applyBorder="1" applyAlignment="1">
      <alignment horizontal="center" vertical="center" wrapText="1"/>
    </xf>
    <xf numFmtId="0" fontId="23" fillId="26" borderId="0" xfId="21" applyFont="1" applyFill="1" applyBorder="1" applyAlignment="1" applyProtection="1">
      <alignment horizontal="centerContinuous" vertical="top"/>
      <protection locked="0"/>
    </xf>
    <xf numFmtId="0" fontId="24" fillId="26" borderId="0" xfId="21" applyFont="1" applyFill="1" applyBorder="1" applyAlignment="1" applyProtection="1">
      <alignment horizontal="centerContinuous" vertical="top"/>
      <protection locked="0"/>
    </xf>
    <xf numFmtId="0" fontId="14" fillId="26" borderId="0" xfId="21" applyFont="1" applyFill="1" applyAlignment="1" applyProtection="1">
      <alignment horizontal="centerContinuous" vertical="top"/>
      <protection locked="0"/>
    </xf>
    <xf numFmtId="0" fontId="13" fillId="26" borderId="0" xfId="21" applyFont="1" applyFill="1" applyBorder="1" applyAlignment="1" applyProtection="1">
      <alignment horizontal="centerContinuous" vertical="top"/>
      <protection locked="0"/>
    </xf>
    <xf numFmtId="0" fontId="2" fillId="26" borderId="0" xfId="21" applyFill="1" applyAlignment="1" applyProtection="1">
      <alignment horizontal="centerContinuous" vertical="top"/>
      <protection locked="0"/>
    </xf>
    <xf numFmtId="0" fontId="15" fillId="26" borderId="0" xfId="21" applyFont="1" applyFill="1" applyBorder="1" applyAlignment="1" applyProtection="1">
      <alignment horizontal="centerContinuous" vertical="top"/>
      <protection locked="0"/>
    </xf>
    <xf numFmtId="0" fontId="25" fillId="26" borderId="0" xfId="21" applyFont="1" applyFill="1" applyBorder="1" applyAlignment="1" applyProtection="1">
      <alignment horizontal="centerContinuous" vertical="top"/>
      <protection locked="0"/>
    </xf>
    <xf numFmtId="0" fontId="16" fillId="26" borderId="0" xfId="21" applyFont="1" applyFill="1" applyBorder="1" applyAlignment="1" applyProtection="1">
      <alignment horizontal="centerContinuous" vertical="top"/>
      <protection locked="0"/>
    </xf>
    <xf numFmtId="0" fontId="4" fillId="26" borderId="0" xfId="21" applyFont="1" applyFill="1" applyAlignment="1" applyProtection="1">
      <alignment horizontal="centerContinuous" vertical="top"/>
      <protection locked="0"/>
    </xf>
    <xf numFmtId="0" fontId="4" fillId="26" borderId="12" xfId="21" applyFont="1" applyFill="1" applyBorder="1" applyAlignment="1" applyProtection="1">
      <alignment horizontal="right"/>
      <protection locked="0"/>
    </xf>
    <xf numFmtId="1" fontId="6" fillId="26" borderId="12" xfId="21" applyNumberFormat="1" applyFont="1" applyFill="1" applyBorder="1" applyAlignment="1" applyProtection="1">
      <alignment horizontal="left"/>
    </xf>
    <xf numFmtId="0" fontId="5" fillId="26" borderId="12" xfId="21" applyFont="1" applyFill="1" applyBorder="1" applyProtection="1">
      <protection locked="0"/>
    </xf>
    <xf numFmtId="0" fontId="14" fillId="26" borderId="0" xfId="21" applyFont="1" applyFill="1" applyBorder="1" applyAlignment="1" applyProtection="1">
      <alignment horizontal="left"/>
      <protection locked="0"/>
    </xf>
    <xf numFmtId="0" fontId="4" fillId="26" borderId="0" xfId="21" applyFont="1" applyFill="1" applyBorder="1" applyAlignment="1" applyProtection="1">
      <protection locked="0"/>
    </xf>
    <xf numFmtId="1" fontId="15" fillId="26" borderId="14" xfId="21" applyNumberFormat="1" applyFont="1" applyFill="1" applyBorder="1" applyAlignment="1" applyProtection="1">
      <alignment horizontal="left"/>
    </xf>
    <xf numFmtId="179" fontId="4" fillId="26" borderId="0" xfId="21" applyNumberFormat="1" applyFont="1" applyFill="1" applyBorder="1" applyAlignment="1" applyProtection="1">
      <alignment horizontal="right"/>
      <protection locked="0"/>
    </xf>
    <xf numFmtId="0" fontId="21" fillId="0" borderId="0" xfId="21" applyFont="1" applyFill="1"/>
    <xf numFmtId="0" fontId="4" fillId="0" borderId="0" xfId="21" applyFont="1" applyFill="1"/>
    <xf numFmtId="0" fontId="19" fillId="0" borderId="0" xfId="21" applyFont="1" applyFill="1" applyAlignment="1">
      <alignment horizontal="left" vertical="top" wrapText="1"/>
    </xf>
    <xf numFmtId="0" fontId="6" fillId="0" borderId="0" xfId="21" applyFont="1" applyFill="1" applyAlignment="1">
      <alignment horizontal="left" vertical="top" wrapText="1"/>
    </xf>
    <xf numFmtId="0" fontId="22" fillId="27" borderId="0" xfId="21" applyFont="1" applyFill="1" applyAlignment="1">
      <alignment horizontal="centerContinuous"/>
    </xf>
    <xf numFmtId="0" fontId="21" fillId="27" borderId="0" xfId="21" applyFont="1" applyFill="1" applyAlignment="1">
      <alignment horizontal="centerContinuous"/>
    </xf>
    <xf numFmtId="0" fontId="21" fillId="27" borderId="0" xfId="21" applyFont="1" applyFill="1"/>
    <xf numFmtId="0" fontId="4" fillId="27" borderId="0" xfId="21" applyFont="1" applyFill="1" applyAlignment="1">
      <alignment horizontal="left"/>
    </xf>
    <xf numFmtId="0" fontId="4" fillId="27" borderId="0" xfId="21" applyFont="1" applyFill="1"/>
    <xf numFmtId="0" fontId="19" fillId="0" borderId="0" xfId="21" applyFont="1" applyFill="1" applyAlignment="1">
      <alignment horizontal="center" vertical="top" wrapText="1"/>
    </xf>
    <xf numFmtId="177" fontId="19" fillId="24" borderId="13" xfId="21" applyNumberFormat="1" applyFont="1" applyFill="1" applyBorder="1" applyAlignment="1">
      <alignment horizontal="center" vertical="center" wrapText="1"/>
    </xf>
    <xf numFmtId="0" fontId="6" fillId="24" borderId="1" xfId="21" applyFont="1" applyFill="1" applyBorder="1" applyAlignment="1">
      <alignment horizontal="center" vertical="center" wrapText="1"/>
    </xf>
    <xf numFmtId="1" fontId="6" fillId="24" borderId="0" xfId="21" applyNumberFormat="1" applyFont="1" applyFill="1" applyBorder="1" applyAlignment="1">
      <alignment horizontal="centerContinuous"/>
    </xf>
    <xf numFmtId="178" fontId="9" fillId="24" borderId="0" xfId="21" applyNumberFormat="1" applyFont="1" applyFill="1" applyAlignment="1">
      <alignment horizontal="left" wrapText="1"/>
    </xf>
    <xf numFmtId="0" fontId="28" fillId="0" borderId="0" xfId="21" applyFont="1" applyFill="1" applyBorder="1" applyAlignment="1">
      <alignment horizontal="center"/>
    </xf>
    <xf numFmtId="178" fontId="9" fillId="0" borderId="0" xfId="21" applyNumberFormat="1" applyFont="1" applyFill="1" applyBorder="1" applyAlignment="1">
      <alignment horizontal="left" wrapText="1"/>
    </xf>
    <xf numFmtId="0" fontId="28" fillId="24" borderId="0" xfId="21" applyFont="1" applyFill="1" applyAlignment="1">
      <alignment horizontal="center"/>
    </xf>
    <xf numFmtId="0" fontId="4" fillId="24" borderId="0" xfId="21" applyNumberFormat="1" applyFont="1" applyFill="1" applyBorder="1" applyAlignment="1">
      <alignment horizontal="centerContinuous"/>
    </xf>
    <xf numFmtId="0" fontId="2" fillId="24" borderId="0" xfId="21" applyFill="1" applyAlignment="1">
      <alignment horizontal="left"/>
    </xf>
    <xf numFmtId="179" fontId="6" fillId="24" borderId="0" xfId="21" applyNumberFormat="1" applyFont="1" applyFill="1" applyBorder="1" applyAlignment="1">
      <alignment horizontal="right" wrapText="1"/>
    </xf>
    <xf numFmtId="178" fontId="6" fillId="24" borderId="0" xfId="21" applyNumberFormat="1" applyFont="1" applyFill="1" applyBorder="1" applyAlignment="1">
      <alignment horizontal="left"/>
    </xf>
    <xf numFmtId="0" fontId="9" fillId="24" borderId="0" xfId="21" applyFont="1" applyFill="1" applyAlignment="1">
      <alignment wrapText="1"/>
    </xf>
    <xf numFmtId="0" fontId="28" fillId="24" borderId="0" xfId="21" applyFont="1" applyFill="1"/>
    <xf numFmtId="178" fontId="9" fillId="24" borderId="0" xfId="21" applyNumberFormat="1" applyFont="1" applyFill="1" applyAlignment="1">
      <alignment wrapText="1"/>
    </xf>
    <xf numFmtId="178" fontId="9" fillId="0" borderId="0" xfId="21" applyNumberFormat="1" applyFont="1" applyFill="1" applyBorder="1" applyAlignment="1">
      <alignment wrapText="1"/>
    </xf>
    <xf numFmtId="179" fontId="6" fillId="24" borderId="0" xfId="21" applyNumberFormat="1" applyFont="1" applyFill="1" applyBorder="1" applyAlignment="1">
      <alignment horizontal="centerContinuous" wrapText="1"/>
    </xf>
    <xf numFmtId="0" fontId="0" fillId="0" borderId="0" xfId="0" applyAlignment="1">
      <alignment horizontal="center" vertical="center"/>
    </xf>
    <xf numFmtId="0" fontId="0" fillId="0" borderId="1" xfId="0" applyFill="1" applyBorder="1" applyAlignment="1">
      <alignment vertical="center"/>
    </xf>
    <xf numFmtId="0" fontId="0" fillId="0" borderId="1" xfId="0"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28" borderId="0" xfId="0" applyFill="1" applyAlignment="1">
      <alignment horizontal="center" vertical="center"/>
    </xf>
    <xf numFmtId="0" fontId="0" fillId="0" borderId="0" xfId="0" applyFill="1" applyBorder="1" applyAlignment="1">
      <alignment vertical="center"/>
    </xf>
    <xf numFmtId="0" fontId="0" fillId="0" borderId="0" xfId="0" applyFill="1" applyBorder="1" applyAlignment="1">
      <alignment horizontal="center" vertical="center"/>
    </xf>
    <xf numFmtId="0" fontId="0" fillId="0" borderId="0" xfId="0" applyBorder="1" applyAlignment="1">
      <alignment horizontal="center" vertical="center"/>
    </xf>
    <xf numFmtId="0" fontId="0" fillId="24" borderId="0" xfId="0" applyFill="1"/>
    <xf numFmtId="0" fontId="28" fillId="0" borderId="15" xfId="21" applyFont="1" applyFill="1" applyBorder="1" applyAlignment="1">
      <alignment horizontal="center"/>
    </xf>
    <xf numFmtId="178" fontId="9" fillId="0" borderId="15" xfId="21" applyNumberFormat="1" applyFont="1" applyFill="1" applyBorder="1" applyAlignment="1">
      <alignment wrapText="1"/>
    </xf>
    <xf numFmtId="178" fontId="9" fillId="0" borderId="15" xfId="21" applyNumberFormat="1" applyFont="1" applyFill="1" applyBorder="1" applyAlignment="1">
      <alignment horizontal="left" wrapText="1"/>
    </xf>
    <xf numFmtId="176" fontId="1" fillId="0" borderId="0" xfId="22" applyNumberFormat="1" applyAlignment="1">
      <alignment horizontal="left" vertical="top" wrapText="1"/>
    </xf>
    <xf numFmtId="0" fontId="30" fillId="0" borderId="0" xfId="21" applyFont="1"/>
    <xf numFmtId="0" fontId="31" fillId="0" borderId="0" xfId="0" applyFont="1" applyAlignment="1">
      <alignment horizontal="center" vertical="center"/>
    </xf>
    <xf numFmtId="0" fontId="53" fillId="0" borderId="0" xfId="47" applyFont="1" applyFill="1" applyAlignment="1">
      <alignment vertical="center" wrapText="1"/>
    </xf>
    <xf numFmtId="0" fontId="50" fillId="0" borderId="0" xfId="47" applyFont="1" applyFill="1">
      <alignment vertical="center"/>
    </xf>
    <xf numFmtId="0" fontId="50" fillId="0" borderId="0" xfId="47" applyFont="1" applyFill="1" applyAlignment="1">
      <alignment vertical="center"/>
    </xf>
    <xf numFmtId="0" fontId="50" fillId="0" borderId="0" xfId="47" applyFont="1" applyFill="1" applyAlignment="1">
      <alignment horizontal="left" vertical="center"/>
    </xf>
    <xf numFmtId="180" fontId="53" fillId="0" borderId="0" xfId="109" applyFont="1" applyFill="1" applyAlignment="1">
      <alignment vertical="center" wrapText="1"/>
    </xf>
    <xf numFmtId="0" fontId="32" fillId="0" borderId="0" xfId="81" applyFont="1">
      <alignment vertical="center"/>
    </xf>
    <xf numFmtId="0" fontId="32" fillId="0" borderId="0" xfId="81" applyFont="1" applyBorder="1">
      <alignment vertical="center"/>
    </xf>
    <xf numFmtId="0" fontId="32" fillId="0" borderId="0" xfId="81" applyFont="1" applyBorder="1" applyAlignment="1">
      <alignment horizontal="center" vertical="center"/>
    </xf>
    <xf numFmtId="0" fontId="61" fillId="0" borderId="1" xfId="0" applyFont="1" applyBorder="1" applyAlignment="1">
      <alignment horizontal="center" vertical="center" wrapText="1"/>
    </xf>
    <xf numFmtId="0" fontId="64" fillId="0" borderId="1" xfId="0" applyFont="1" applyBorder="1" applyAlignment="1">
      <alignment horizontal="center" vertical="center" wrapText="1"/>
    </xf>
    <xf numFmtId="0" fontId="32" fillId="0" borderId="1" xfId="81" applyFont="1" applyBorder="1" applyAlignment="1">
      <alignment horizontal="center" vertical="center"/>
    </xf>
    <xf numFmtId="0" fontId="32" fillId="0" borderId="0" xfId="81" applyFont="1" applyAlignment="1">
      <alignment horizontal="center" vertical="center"/>
    </xf>
    <xf numFmtId="0" fontId="59" fillId="0" borderId="0" xfId="81" applyFont="1" applyBorder="1" applyAlignment="1"/>
    <xf numFmtId="0" fontId="59" fillId="0" borderId="0" xfId="81" applyFont="1" applyBorder="1">
      <alignment vertical="center"/>
    </xf>
    <xf numFmtId="0" fontId="32" fillId="0" borderId="1" xfId="81" applyFont="1" applyBorder="1" applyAlignment="1">
      <alignment horizontal="center" vertical="center" wrapText="1"/>
    </xf>
    <xf numFmtId="0" fontId="50" fillId="0" borderId="0" xfId="47" applyFont="1" applyFill="1" applyAlignment="1">
      <alignment horizontal="center" vertical="center"/>
    </xf>
    <xf numFmtId="0" fontId="30" fillId="0" borderId="19" xfId="47" applyFont="1" applyFill="1" applyBorder="1" applyAlignment="1">
      <alignment horizontal="center" vertical="center" wrapText="1"/>
    </xf>
    <xf numFmtId="0" fontId="29" fillId="0" borderId="19" xfId="0" applyFont="1" applyBorder="1" applyAlignment="1">
      <alignment horizontal="left" vertical="center" wrapText="1"/>
    </xf>
    <xf numFmtId="0" fontId="29" fillId="0" borderId="21" xfId="0" applyFont="1" applyBorder="1" applyAlignment="1">
      <alignment horizontal="left" vertical="center" wrapText="1"/>
    </xf>
    <xf numFmtId="0" fontId="29" fillId="0" borderId="1" xfId="0" applyFont="1" applyBorder="1" applyAlignment="1">
      <alignment horizontal="left" vertical="center" wrapText="1"/>
    </xf>
    <xf numFmtId="0" fontId="57" fillId="0" borderId="0" xfId="47" applyFont="1" applyBorder="1" applyAlignment="1">
      <alignment horizontal="right" vertical="top" wrapText="1"/>
    </xf>
    <xf numFmtId="0" fontId="58" fillId="0" borderId="0" xfId="47" applyFont="1" applyBorder="1" applyAlignment="1">
      <alignment horizontal="justify" vertical="top" wrapText="1"/>
    </xf>
    <xf numFmtId="0" fontId="32" fillId="0" borderId="0" xfId="81">
      <alignment vertical="center"/>
    </xf>
    <xf numFmtId="0" fontId="67" fillId="0" borderId="1" xfId="81" applyFont="1" applyBorder="1" applyAlignment="1">
      <alignment horizontal="center" vertical="center"/>
    </xf>
    <xf numFmtId="0" fontId="68" fillId="0" borderId="1" xfId="81" applyFont="1" applyBorder="1" applyAlignment="1">
      <alignment horizontal="center" vertical="center" wrapText="1"/>
    </xf>
    <xf numFmtId="180" fontId="54" fillId="0" borderId="0" xfId="109" applyFont="1" applyFill="1" applyAlignment="1">
      <alignment vertical="center" wrapText="1"/>
    </xf>
    <xf numFmtId="180" fontId="70" fillId="0" borderId="0" xfId="109" applyFont="1" applyFill="1" applyAlignment="1">
      <alignment vertical="center" wrapText="1"/>
    </xf>
    <xf numFmtId="180" fontId="72" fillId="0" borderId="0" xfId="109" applyFont="1" applyFill="1" applyAlignment="1">
      <alignment vertical="center" wrapText="1"/>
    </xf>
    <xf numFmtId="180" fontId="71" fillId="0" borderId="0" xfId="109" applyFont="1" applyFill="1" applyAlignment="1">
      <alignment vertical="center" wrapText="1"/>
    </xf>
    <xf numFmtId="14" fontId="69" fillId="0" borderId="1" xfId="81" applyNumberFormat="1" applyFont="1" applyBorder="1" applyAlignment="1">
      <alignment horizontal="center" vertical="center" wrapText="1"/>
    </xf>
    <xf numFmtId="0" fontId="0" fillId="0" borderId="1" xfId="0" applyBorder="1" applyAlignment="1">
      <alignment horizontal="center" vertical="center"/>
    </xf>
    <xf numFmtId="0" fontId="30" fillId="0" borderId="1" xfId="47" applyFont="1" applyFill="1" applyBorder="1" applyAlignment="1">
      <alignment horizontal="center" vertical="center" wrapText="1"/>
    </xf>
    <xf numFmtId="0" fontId="30" fillId="0" borderId="19" xfId="47" applyFont="1" applyFill="1" applyBorder="1" applyAlignment="1">
      <alignment horizontal="center" vertical="center" wrapText="1"/>
    </xf>
    <xf numFmtId="0" fontId="29" fillId="0" borderId="1" xfId="0" applyFont="1" applyBorder="1" applyAlignment="1">
      <alignment horizontal="left" vertical="center" wrapText="1"/>
    </xf>
    <xf numFmtId="0" fontId="29" fillId="0" borderId="1" xfId="0" applyFont="1" applyFill="1" applyBorder="1" applyAlignment="1">
      <alignment horizontal="left" vertical="center" wrapText="1"/>
    </xf>
    <xf numFmtId="0" fontId="29" fillId="0" borderId="20" xfId="0" applyFont="1" applyFill="1" applyBorder="1" applyAlignment="1">
      <alignment horizontal="center" vertical="center" wrapText="1"/>
    </xf>
    <xf numFmtId="0" fontId="73" fillId="0" borderId="1" xfId="0" applyFont="1" applyFill="1" applyBorder="1" applyAlignment="1">
      <alignment horizontal="left" vertical="center" wrapText="1"/>
    </xf>
    <xf numFmtId="0" fontId="73" fillId="0" borderId="1" xfId="0" applyFont="1" applyFill="1" applyBorder="1" applyAlignment="1">
      <alignment horizontal="center" vertical="center" wrapText="1"/>
    </xf>
    <xf numFmtId="0" fontId="9" fillId="0" borderId="1" xfId="0" applyFont="1" applyBorder="1" applyAlignment="1">
      <alignment horizontal="center" vertical="center" wrapText="1"/>
    </xf>
    <xf numFmtId="49" fontId="9" fillId="0" borderId="19" xfId="0" applyNumberFormat="1" applyFont="1" applyBorder="1" applyAlignment="1">
      <alignment horizontal="center" vertical="center"/>
    </xf>
    <xf numFmtId="49" fontId="0" fillId="0" borderId="19" xfId="0" applyNumberFormat="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0" fontId="29" fillId="0" borderId="1" xfId="0" applyFont="1" applyBorder="1" applyAlignment="1">
      <alignment horizontal="left" vertical="center" wrapText="1"/>
    </xf>
    <xf numFmtId="0" fontId="9" fillId="0" borderId="1" xfId="0" applyFont="1" applyBorder="1" applyAlignment="1">
      <alignment horizontal="center" vertical="center" wrapText="1"/>
    </xf>
    <xf numFmtId="0" fontId="29" fillId="0" borderId="1" xfId="0" applyFont="1" applyFill="1" applyBorder="1" applyAlignment="1">
      <alignment horizontal="left" vertical="center" wrapText="1"/>
    </xf>
    <xf numFmtId="0" fontId="29" fillId="0" borderId="1" xfId="0" applyFont="1" applyBorder="1" applyAlignment="1">
      <alignment horizontal="left" vertical="center" wrapText="1"/>
    </xf>
    <xf numFmtId="0" fontId="29" fillId="0" borderId="1" xfId="0" applyFont="1" applyBorder="1" applyAlignment="1">
      <alignment horizontal="center" vertical="center" wrapText="1"/>
    </xf>
    <xf numFmtId="0" fontId="74" fillId="0" borderId="1" xfId="0" applyFont="1" applyBorder="1" applyAlignment="1">
      <alignment horizontal="left" vertical="center" wrapText="1"/>
    </xf>
    <xf numFmtId="0" fontId="74" fillId="0" borderId="1" xfId="0" applyFont="1" applyFill="1" applyBorder="1" applyAlignment="1">
      <alignment horizontal="left" vertical="center" wrapText="1"/>
    </xf>
    <xf numFmtId="0" fontId="75" fillId="0" borderId="1" xfId="0" applyFont="1" applyBorder="1" applyAlignment="1">
      <alignment horizontal="center" vertical="center" wrapText="1"/>
    </xf>
    <xf numFmtId="0" fontId="74" fillId="0" borderId="20" xfId="0" applyFont="1" applyBorder="1" applyAlignment="1">
      <alignment horizontal="left" vertical="center" wrapText="1"/>
    </xf>
    <xf numFmtId="0" fontId="75" fillId="0"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30" fillId="0" borderId="1" xfId="47" applyFont="1" applyFill="1" applyBorder="1" applyAlignment="1">
      <alignment horizontal="center" vertical="center" wrapText="1"/>
    </xf>
    <xf numFmtId="0" fontId="30" fillId="0" borderId="19" xfId="47" applyFont="1" applyFill="1" applyBorder="1" applyAlignment="1">
      <alignment horizontal="center" vertical="center" wrapText="1"/>
    </xf>
    <xf numFmtId="0" fontId="9" fillId="0" borderId="1" xfId="0" applyFont="1" applyBorder="1" applyAlignment="1">
      <alignment horizontal="center" vertical="center" wrapText="1"/>
    </xf>
    <xf numFmtId="0" fontId="75" fillId="0" borderId="20" xfId="0" applyFont="1" applyBorder="1" applyAlignment="1">
      <alignment horizontal="center" vertical="center" wrapText="1"/>
    </xf>
    <xf numFmtId="0" fontId="29" fillId="0" borderId="1" xfId="0" applyFont="1" applyBorder="1" applyAlignment="1">
      <alignment horizontal="left" vertical="center" wrapText="1"/>
    </xf>
    <xf numFmtId="0" fontId="9" fillId="0" borderId="1" xfId="0" applyFont="1" applyBorder="1" applyAlignment="1">
      <alignment horizontal="center" vertical="center" wrapText="1"/>
    </xf>
    <xf numFmtId="0" fontId="73" fillId="0" borderId="1" xfId="47" applyFont="1" applyFill="1" applyBorder="1" applyAlignment="1">
      <alignment horizontal="center" vertical="center" wrapText="1"/>
    </xf>
    <xf numFmtId="49" fontId="76" fillId="0" borderId="1" xfId="109" applyNumberFormat="1" applyFont="1" applyFill="1" applyBorder="1" applyAlignment="1">
      <alignment horizontal="center" vertical="center" wrapText="1"/>
    </xf>
    <xf numFmtId="0" fontId="21" fillId="0" borderId="1" xfId="47" applyFont="1" applyFill="1" applyBorder="1" applyAlignment="1">
      <alignment horizontal="center" vertical="center" wrapText="1"/>
    </xf>
    <xf numFmtId="49" fontId="73" fillId="0" borderId="1" xfId="0" applyNumberFormat="1" applyFont="1" applyBorder="1" applyAlignment="1">
      <alignment horizontal="center" vertical="center"/>
    </xf>
    <xf numFmtId="0" fontId="73" fillId="0" borderId="1" xfId="0" applyFont="1" applyBorder="1" applyAlignment="1">
      <alignment horizontal="left" vertical="center" wrapText="1"/>
    </xf>
    <xf numFmtId="49" fontId="21" fillId="0" borderId="1" xfId="0" applyNumberFormat="1" applyFont="1" applyBorder="1" applyAlignment="1">
      <alignment horizontal="center" vertical="center"/>
    </xf>
    <xf numFmtId="0" fontId="84" fillId="0" borderId="1" xfId="0" applyFont="1" applyFill="1" applyBorder="1" applyAlignment="1">
      <alignment horizontal="left" vertical="center" wrapText="1"/>
    </xf>
    <xf numFmtId="0" fontId="84" fillId="0" borderId="1" xfId="0" applyFont="1" applyBorder="1" applyAlignment="1">
      <alignment horizontal="left" vertical="center" wrapText="1"/>
    </xf>
    <xf numFmtId="0" fontId="84" fillId="0" borderId="1" xfId="0" applyFont="1" applyBorder="1" applyAlignment="1">
      <alignment horizontal="center" vertical="center" wrapText="1"/>
    </xf>
    <xf numFmtId="0" fontId="84" fillId="0" borderId="1" xfId="0" applyFont="1" applyFill="1" applyBorder="1" applyAlignment="1">
      <alignment horizontal="center" vertical="center" wrapText="1"/>
    </xf>
    <xf numFmtId="0" fontId="73" fillId="0" borderId="1" xfId="0" applyFont="1" applyBorder="1" applyAlignment="1">
      <alignment horizontal="center" vertical="center" wrapText="1"/>
    </xf>
    <xf numFmtId="49" fontId="21" fillId="0" borderId="19" xfId="0" applyNumberFormat="1" applyFont="1" applyBorder="1" applyAlignment="1">
      <alignment horizontal="center" vertical="center"/>
    </xf>
    <xf numFmtId="0" fontId="21" fillId="0" borderId="1" xfId="0" applyFont="1" applyBorder="1" applyAlignment="1">
      <alignment horizontal="center" vertical="center"/>
    </xf>
    <xf numFmtId="49" fontId="22" fillId="0" borderId="1" xfId="109" applyNumberFormat="1" applyFont="1" applyFill="1" applyBorder="1" applyAlignment="1">
      <alignment horizontal="center" vertical="center"/>
    </xf>
    <xf numFmtId="49" fontId="21" fillId="0" borderId="1" xfId="109" applyNumberFormat="1" applyFont="1" applyFill="1" applyBorder="1" applyAlignment="1">
      <alignment horizontal="center" vertical="center" wrapText="1"/>
    </xf>
    <xf numFmtId="0" fontId="9" fillId="0" borderId="19" xfId="0" applyFont="1" applyBorder="1" applyAlignment="1">
      <alignment horizontal="center" vertical="center" wrapText="1"/>
    </xf>
    <xf numFmtId="0" fontId="73" fillId="0" borderId="1" xfId="0" applyFont="1" applyBorder="1" applyAlignment="1">
      <alignment horizontal="center" vertical="center" wrapText="1"/>
    </xf>
    <xf numFmtId="0" fontId="88" fillId="0" borderId="1" xfId="81" applyFont="1" applyFill="1" applyBorder="1" applyAlignment="1">
      <alignment horizontal="center" vertical="center" wrapText="1"/>
    </xf>
    <xf numFmtId="0" fontId="21" fillId="0" borderId="1" xfId="81" applyFont="1" applyFill="1" applyBorder="1" applyAlignment="1">
      <alignment horizontal="center" vertical="center" wrapText="1"/>
    </xf>
    <xf numFmtId="0" fontId="67" fillId="0" borderId="1" xfId="81" applyFont="1" applyFill="1" applyBorder="1" applyAlignment="1">
      <alignment horizontal="center" vertical="center" wrapText="1"/>
    </xf>
    <xf numFmtId="0" fontId="89" fillId="0" borderId="1" xfId="0" applyFont="1" applyFill="1" applyBorder="1" applyAlignment="1">
      <alignment horizontal="center" vertical="center" wrapText="1"/>
    </xf>
    <xf numFmtId="0" fontId="90" fillId="0" borderId="1" xfId="0" applyFont="1" applyFill="1" applyBorder="1" applyAlignment="1">
      <alignment horizontal="center" vertical="center" wrapText="1"/>
    </xf>
    <xf numFmtId="0" fontId="87" fillId="0" borderId="1" xfId="83" applyFont="1" applyBorder="1" applyAlignment="1">
      <alignment horizontal="center" vertical="center" wrapText="1"/>
    </xf>
    <xf numFmtId="0" fontId="80" fillId="0" borderId="1" xfId="83" applyFont="1" applyBorder="1" applyAlignment="1">
      <alignment horizontal="center" vertical="center" wrapText="1"/>
    </xf>
    <xf numFmtId="0" fontId="29"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30" fillId="0" borderId="1" xfId="47" applyFont="1" applyFill="1" applyBorder="1" applyAlignment="1">
      <alignment horizontal="center" vertical="center" wrapText="1"/>
    </xf>
    <xf numFmtId="0" fontId="30" fillId="0" borderId="19" xfId="47" applyFont="1" applyFill="1" applyBorder="1" applyAlignment="1">
      <alignment horizontal="center" vertical="center" wrapText="1"/>
    </xf>
    <xf numFmtId="0" fontId="21" fillId="0" borderId="1" xfId="47" applyFont="1" applyFill="1" applyBorder="1" applyAlignment="1">
      <alignment horizontal="center" vertical="center" wrapText="1"/>
    </xf>
    <xf numFmtId="0" fontId="80" fillId="0" borderId="1" xfId="83" applyFont="1" applyBorder="1" applyAlignment="1">
      <alignment horizontal="center" vertical="center" wrapText="1"/>
    </xf>
    <xf numFmtId="0" fontId="74" fillId="0" borderId="11" xfId="47" applyFont="1" applyFill="1" applyBorder="1" applyAlignment="1">
      <alignment horizontal="left" vertical="center" wrapText="1"/>
    </xf>
    <xf numFmtId="0" fontId="84" fillId="0" borderId="1" xfId="47" applyFont="1" applyFill="1" applyBorder="1" applyAlignment="1">
      <alignment horizontal="center" vertical="center" wrapText="1"/>
    </xf>
    <xf numFmtId="0" fontId="29" fillId="0" borderId="0" xfId="47" applyFont="1" applyFill="1">
      <alignment vertical="center"/>
    </xf>
    <xf numFmtId="0" fontId="74" fillId="0" borderId="1" xfId="47" applyFont="1" applyFill="1" applyBorder="1" applyAlignment="1">
      <alignment horizontal="left" vertical="center" wrapText="1"/>
    </xf>
    <xf numFmtId="0" fontId="84" fillId="0" borderId="1" xfId="47" applyFont="1" applyFill="1" applyBorder="1" applyAlignment="1">
      <alignment vertical="center" wrapText="1"/>
    </xf>
    <xf numFmtId="0" fontId="84" fillId="0" borderId="1" xfId="47" applyFont="1" applyFill="1" applyBorder="1" applyAlignment="1">
      <alignment horizontal="left" vertical="center" wrapText="1"/>
    </xf>
    <xf numFmtId="0" fontId="84" fillId="0" borderId="1" xfId="47" applyFont="1" applyBorder="1" applyAlignment="1">
      <alignment horizontal="center" vertical="center" wrapText="1"/>
    </xf>
    <xf numFmtId="0" fontId="74" fillId="0" borderId="1" xfId="47" applyFont="1" applyBorder="1" applyAlignment="1">
      <alignment horizontal="center" vertical="center" wrapText="1"/>
    </xf>
    <xf numFmtId="0" fontId="74" fillId="0" borderId="1" xfId="47" applyFont="1" applyFill="1" applyBorder="1" applyAlignment="1">
      <alignment horizontal="center" vertical="center" wrapText="1"/>
    </xf>
    <xf numFmtId="0" fontId="74" fillId="0" borderId="1" xfId="47" applyFont="1" applyFill="1" applyBorder="1" applyAlignment="1">
      <alignment vertical="center" wrapText="1"/>
    </xf>
    <xf numFmtId="0" fontId="29" fillId="0" borderId="1" xfId="0" applyFont="1" applyFill="1" applyBorder="1" applyAlignment="1">
      <alignment vertical="center" wrapText="1"/>
    </xf>
    <xf numFmtId="49" fontId="99" fillId="0" borderId="1" xfId="109" applyNumberFormat="1" applyFont="1" applyFill="1" applyBorder="1" applyAlignment="1">
      <alignment horizontal="center" vertical="center" wrapText="1"/>
    </xf>
    <xf numFmtId="180" fontId="66" fillId="0" borderId="0" xfId="109" applyFont="1" applyFill="1" applyAlignment="1">
      <alignment vertical="center" wrapText="1"/>
    </xf>
    <xf numFmtId="180" fontId="101" fillId="0" borderId="0" xfId="109" applyFont="1" applyFill="1" applyAlignment="1">
      <alignment vertical="center" wrapText="1"/>
    </xf>
    <xf numFmtId="0" fontId="102" fillId="0" borderId="0" xfId="47" applyFont="1" applyFill="1">
      <alignment vertical="center"/>
    </xf>
    <xf numFmtId="49" fontId="55" fillId="0" borderId="1" xfId="109" applyNumberFormat="1" applyFont="1" applyFill="1" applyBorder="1" applyAlignment="1">
      <alignment horizontal="center" vertical="center"/>
    </xf>
    <xf numFmtId="49" fontId="101" fillId="0" borderId="1" xfId="109" applyNumberFormat="1" applyFont="1" applyFill="1" applyBorder="1" applyAlignment="1">
      <alignment horizontal="center" vertical="center" wrapText="1"/>
    </xf>
    <xf numFmtId="0" fontId="96" fillId="0" borderId="11" xfId="47" applyFont="1" applyFill="1" applyBorder="1" applyAlignment="1">
      <alignment horizontal="left" vertical="center" wrapText="1"/>
    </xf>
    <xf numFmtId="0" fontId="84" fillId="0" borderId="11" xfId="47" applyFont="1" applyFill="1" applyBorder="1" applyAlignment="1">
      <alignment horizontal="left" vertical="center" wrapText="1"/>
    </xf>
    <xf numFmtId="0" fontId="103" fillId="0" borderId="1" xfId="0" applyFont="1" applyFill="1" applyBorder="1" applyAlignment="1">
      <alignment vertical="center" wrapText="1"/>
    </xf>
    <xf numFmtId="0" fontId="73" fillId="0" borderId="1" xfId="0" applyFont="1" applyFill="1" applyBorder="1" applyAlignment="1">
      <alignment vertical="center" wrapText="1"/>
    </xf>
    <xf numFmtId="0" fontId="9" fillId="0" borderId="1" xfId="0" applyFont="1" applyFill="1" applyBorder="1" applyAlignment="1">
      <alignment vertical="center" wrapText="1"/>
    </xf>
    <xf numFmtId="0" fontId="84" fillId="0" borderId="1" xfId="0" applyFont="1" applyFill="1" applyBorder="1" applyAlignment="1">
      <alignment vertical="center" wrapText="1"/>
    </xf>
    <xf numFmtId="0" fontId="52" fillId="0" borderId="1" xfId="0" applyFont="1" applyFill="1" applyBorder="1" applyAlignment="1">
      <alignment vertical="center" wrapText="1"/>
    </xf>
    <xf numFmtId="0" fontId="32" fillId="0" borderId="0" xfId="81" applyFont="1" applyAlignment="1">
      <alignment vertical="center"/>
    </xf>
    <xf numFmtId="0" fontId="32" fillId="0" borderId="0" xfId="81" applyFont="1" applyBorder="1" applyAlignment="1">
      <alignment horizontal="left" vertical="center" wrapText="1"/>
    </xf>
    <xf numFmtId="0" fontId="32" fillId="0" borderId="0" xfId="81" applyFont="1" applyBorder="1" applyAlignment="1">
      <alignment horizontal="left" vertical="center"/>
    </xf>
    <xf numFmtId="0" fontId="32" fillId="0" borderId="0" xfId="81" applyFont="1" applyAlignment="1">
      <alignment horizontal="left" vertical="center"/>
    </xf>
    <xf numFmtId="0" fontId="50" fillId="0" borderId="0" xfId="47" applyFont="1" applyBorder="1" applyAlignment="1">
      <alignment horizontal="center" wrapText="1"/>
    </xf>
    <xf numFmtId="0" fontId="104" fillId="0" borderId="17" xfId="0" applyFont="1" applyBorder="1" applyAlignment="1">
      <alignment horizontal="center" vertical="center" wrapText="1"/>
    </xf>
    <xf numFmtId="0" fontId="94" fillId="0" borderId="15" xfId="0" applyFont="1" applyBorder="1" applyAlignment="1">
      <alignment horizontal="center" vertical="center" wrapText="1"/>
    </xf>
    <xf numFmtId="0" fontId="94" fillId="0" borderId="18" xfId="0" applyFont="1" applyBorder="1" applyAlignment="1">
      <alignment horizontal="center" vertical="center" wrapText="1"/>
    </xf>
    <xf numFmtId="0" fontId="94" fillId="0" borderId="0" xfId="0" applyFont="1" applyBorder="1" applyAlignment="1">
      <alignment horizontal="center" vertical="center" wrapText="1"/>
    </xf>
    <xf numFmtId="0" fontId="94" fillId="0" borderId="16" xfId="0" applyFont="1" applyBorder="1" applyAlignment="1">
      <alignment horizontal="center" vertical="center" wrapText="1"/>
    </xf>
    <xf numFmtId="0" fontId="94" fillId="0" borderId="14" xfId="0" applyFont="1" applyBorder="1" applyAlignment="1">
      <alignment horizontal="center" vertical="center" wrapText="1"/>
    </xf>
    <xf numFmtId="0" fontId="65" fillId="0" borderId="1" xfId="0" applyFont="1" applyBorder="1" applyAlignment="1">
      <alignment horizontal="center" vertical="center"/>
    </xf>
    <xf numFmtId="14" fontId="65" fillId="0" borderId="1" xfId="0" applyNumberFormat="1" applyFont="1" applyBorder="1" applyAlignment="1">
      <alignment horizontal="center" vertical="center"/>
    </xf>
    <xf numFmtId="0" fontId="0" fillId="0" borderId="1" xfId="0" applyBorder="1" applyAlignment="1">
      <alignment horizontal="center" vertical="center"/>
    </xf>
    <xf numFmtId="0" fontId="105" fillId="0" borderId="0" xfId="81" applyFont="1" applyAlignment="1">
      <alignment horizontal="center" vertical="center" wrapText="1"/>
    </xf>
    <xf numFmtId="0" fontId="32" fillId="0" borderId="0" xfId="81" applyFont="1" applyAlignment="1">
      <alignment horizontal="center" vertical="center"/>
    </xf>
    <xf numFmtId="0" fontId="32" fillId="0" borderId="1" xfId="81" applyBorder="1" applyAlignment="1">
      <alignment horizontal="center" vertical="center"/>
    </xf>
    <xf numFmtId="0" fontId="93" fillId="0" borderId="1" xfId="81" applyFont="1" applyBorder="1" applyAlignment="1">
      <alignment horizontal="center" vertical="center" wrapText="1"/>
    </xf>
    <xf numFmtId="0" fontId="30" fillId="0" borderId="1" xfId="47" applyFont="1" applyFill="1" applyBorder="1" applyAlignment="1">
      <alignment horizontal="center" vertical="center" wrapText="1"/>
    </xf>
    <xf numFmtId="0" fontId="30" fillId="0" borderId="19" xfId="47" applyFont="1" applyFill="1" applyBorder="1" applyAlignment="1">
      <alignment horizontal="center" vertical="center" wrapText="1"/>
    </xf>
    <xf numFmtId="0" fontId="29" fillId="0" borderId="19" xfId="0" applyFont="1" applyBorder="1" applyAlignment="1">
      <alignment horizontal="center" vertical="center"/>
    </xf>
    <xf numFmtId="0" fontId="29" fillId="0" borderId="21" xfId="0" applyFont="1" applyBorder="1" applyAlignment="1">
      <alignment horizontal="center" vertical="center"/>
    </xf>
    <xf numFmtId="0" fontId="29" fillId="0" borderId="20" xfId="0" applyFont="1" applyBorder="1" applyAlignment="1">
      <alignment horizontal="center" vertical="center"/>
    </xf>
    <xf numFmtId="0" fontId="74" fillId="0" borderId="19" xfId="47" applyFont="1" applyBorder="1" applyAlignment="1">
      <alignment horizontal="center" vertical="center" wrapText="1"/>
    </xf>
    <xf numFmtId="0" fontId="74" fillId="0" borderId="21" xfId="47" applyFont="1" applyBorder="1" applyAlignment="1">
      <alignment horizontal="center" vertical="center" wrapText="1"/>
    </xf>
    <xf numFmtId="0" fontId="74" fillId="0" borderId="20" xfId="47" applyFont="1" applyBorder="1" applyAlignment="1">
      <alignment horizontal="center" vertical="center" wrapText="1"/>
    </xf>
    <xf numFmtId="0" fontId="92" fillId="0" borderId="17" xfId="0" applyFont="1" applyBorder="1" applyAlignment="1">
      <alignment horizontal="center" vertical="center" wrapText="1"/>
    </xf>
    <xf numFmtId="0" fontId="92" fillId="0" borderId="15" xfId="0" applyFont="1" applyBorder="1" applyAlignment="1">
      <alignment horizontal="center" vertical="center" wrapText="1"/>
    </xf>
    <xf numFmtId="0" fontId="92" fillId="0" borderId="22" xfId="0" applyFont="1" applyBorder="1" applyAlignment="1">
      <alignment horizontal="center" vertical="center" wrapText="1"/>
    </xf>
    <xf numFmtId="0" fontId="92" fillId="0" borderId="18" xfId="0" applyFont="1" applyBorder="1" applyAlignment="1">
      <alignment horizontal="center" vertical="center" wrapText="1"/>
    </xf>
    <xf numFmtId="0" fontId="92" fillId="0" borderId="0" xfId="0" applyFont="1" applyBorder="1" applyAlignment="1">
      <alignment horizontal="center" vertical="center" wrapText="1"/>
    </xf>
    <xf numFmtId="0" fontId="92" fillId="0" borderId="23" xfId="0" applyFont="1" applyBorder="1" applyAlignment="1">
      <alignment horizontal="center" vertical="center" wrapText="1"/>
    </xf>
    <xf numFmtId="0" fontId="92" fillId="0" borderId="16" xfId="0" applyFont="1" applyBorder="1" applyAlignment="1">
      <alignment horizontal="center" vertical="center" wrapText="1"/>
    </xf>
    <xf numFmtId="0" fontId="92" fillId="0" borderId="14" xfId="0" applyFont="1" applyBorder="1" applyAlignment="1">
      <alignment horizontal="center" vertical="center" wrapText="1"/>
    </xf>
    <xf numFmtId="0" fontId="92" fillId="0" borderId="24" xfId="0" applyFont="1" applyBorder="1" applyAlignment="1">
      <alignment horizontal="center" vertical="center" wrapText="1"/>
    </xf>
    <xf numFmtId="0" fontId="74" fillId="0" borderId="1" xfId="47" applyFont="1" applyFill="1" applyBorder="1" applyAlignment="1">
      <alignment horizontal="center" vertical="center" wrapText="1"/>
    </xf>
    <xf numFmtId="0" fontId="74" fillId="0" borderId="1" xfId="47" applyFont="1" applyFill="1" applyBorder="1" applyAlignment="1">
      <alignment vertical="center" wrapText="1"/>
    </xf>
    <xf numFmtId="0" fontId="74" fillId="0" borderId="1" xfId="47" applyFont="1" applyFill="1" applyBorder="1" applyAlignment="1">
      <alignment horizontal="left" vertical="center" wrapText="1"/>
    </xf>
    <xf numFmtId="0" fontId="74" fillId="0" borderId="1" xfId="47" applyFont="1" applyBorder="1" applyAlignment="1">
      <alignment horizontal="left" vertical="center" wrapText="1"/>
    </xf>
    <xf numFmtId="0" fontId="97" fillId="0" borderId="1" xfId="47" applyFont="1" applyFill="1" applyBorder="1" applyAlignment="1">
      <alignment horizontal="left"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29" fillId="0" borderId="19" xfId="0" applyFont="1" applyBorder="1" applyAlignment="1">
      <alignment horizontal="left" vertical="center" wrapText="1"/>
    </xf>
    <xf numFmtId="0" fontId="29" fillId="0" borderId="20" xfId="0" applyFont="1" applyBorder="1" applyAlignment="1">
      <alignment horizontal="left" vertical="center" wrapText="1"/>
    </xf>
    <xf numFmtId="0" fontId="66" fillId="0" borderId="1" xfId="0" applyNumberFormat="1" applyFont="1" applyBorder="1" applyAlignment="1">
      <alignment horizontal="center" vertical="center"/>
    </xf>
    <xf numFmtId="14" fontId="30" fillId="0" borderId="1" xfId="0" applyNumberFormat="1" applyFont="1" applyBorder="1" applyAlignment="1">
      <alignment horizontal="center" vertical="center"/>
    </xf>
    <xf numFmtId="14" fontId="21" fillId="0" borderId="1" xfId="0" applyNumberFormat="1" applyFont="1" applyBorder="1" applyAlignment="1">
      <alignment horizontal="center" vertical="center"/>
    </xf>
    <xf numFmtId="0" fontId="52" fillId="0" borderId="1" xfId="110" applyFont="1" applyFill="1" applyBorder="1" applyAlignment="1">
      <alignment horizontal="left" vertical="center" wrapText="1"/>
    </xf>
    <xf numFmtId="0" fontId="52" fillId="0" borderId="13" xfId="110" applyFont="1" applyFill="1" applyBorder="1" applyAlignment="1">
      <alignment horizontal="left" vertical="center" wrapText="1"/>
    </xf>
    <xf numFmtId="0" fontId="52" fillId="0" borderId="12" xfId="110" applyFont="1" applyFill="1" applyBorder="1" applyAlignment="1">
      <alignment horizontal="left" vertical="center" wrapText="1"/>
    </xf>
    <xf numFmtId="0" fontId="52" fillId="0" borderId="11" xfId="110" applyFont="1" applyFill="1" applyBorder="1" applyAlignment="1">
      <alignment horizontal="left" vertical="center" wrapText="1"/>
    </xf>
    <xf numFmtId="0" fontId="101" fillId="0" borderId="12" xfId="0" applyFont="1" applyFill="1" applyBorder="1" applyAlignment="1">
      <alignment horizontal="left" vertical="center" wrapText="1"/>
    </xf>
    <xf numFmtId="0" fontId="101" fillId="0" borderId="11" xfId="0" applyFont="1" applyFill="1" applyBorder="1" applyAlignment="1">
      <alignment horizontal="left" vertical="center" wrapText="1"/>
    </xf>
    <xf numFmtId="0" fontId="101" fillId="0" borderId="1" xfId="0" applyFont="1" applyBorder="1" applyAlignment="1">
      <alignment horizontal="left" vertical="center" wrapText="1"/>
    </xf>
    <xf numFmtId="0" fontId="30" fillId="0" borderId="13" xfId="47" applyFont="1" applyFill="1" applyBorder="1" applyAlignment="1">
      <alignment horizontal="center" vertical="center" wrapText="1"/>
    </xf>
    <xf numFmtId="0" fontId="30" fillId="0" borderId="12" xfId="47" applyFont="1" applyFill="1" applyBorder="1" applyAlignment="1">
      <alignment horizontal="center" vertical="center" wrapText="1"/>
    </xf>
    <xf numFmtId="0" fontId="30" fillId="0" borderId="11" xfId="47" applyFont="1" applyFill="1" applyBorder="1" applyAlignment="1">
      <alignment horizontal="center" vertical="center" wrapText="1"/>
    </xf>
    <xf numFmtId="0" fontId="50" fillId="0" borderId="15" xfId="47" applyFont="1" applyFill="1" applyBorder="1" applyAlignment="1">
      <alignment horizontal="left" vertical="center" wrapText="1"/>
    </xf>
    <xf numFmtId="0" fontId="50" fillId="0" borderId="0" xfId="47" applyFont="1" applyFill="1" applyBorder="1" applyAlignment="1">
      <alignment horizontal="left" vertical="center" wrapText="1"/>
    </xf>
    <xf numFmtId="49" fontId="55" fillId="0" borderId="13" xfId="109" applyNumberFormat="1" applyFont="1" applyFill="1" applyBorder="1" applyAlignment="1">
      <alignment horizontal="left" vertical="center"/>
    </xf>
    <xf numFmtId="49" fontId="55" fillId="0" borderId="12" xfId="109" applyNumberFormat="1" applyFont="1" applyFill="1" applyBorder="1" applyAlignment="1">
      <alignment horizontal="left" vertical="center"/>
    </xf>
    <xf numFmtId="49" fontId="55" fillId="0" borderId="11" xfId="109" applyNumberFormat="1" applyFont="1" applyFill="1" applyBorder="1" applyAlignment="1">
      <alignment horizontal="left" vertical="center"/>
    </xf>
    <xf numFmtId="0" fontId="9" fillId="0" borderId="1" xfId="0" applyFont="1" applyBorder="1" applyAlignment="1">
      <alignment horizontal="left" vertical="center" wrapText="1"/>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0" xfId="0" applyBorder="1" applyAlignment="1">
      <alignment horizontal="center" vertical="center"/>
    </xf>
    <xf numFmtId="0" fontId="29" fillId="0" borderId="19" xfId="0" applyFont="1" applyBorder="1" applyAlignment="1">
      <alignment horizontal="center" vertical="center" wrapText="1"/>
    </xf>
    <xf numFmtId="0" fontId="29" fillId="0" borderId="21" xfId="0" applyFont="1" applyBorder="1" applyAlignment="1">
      <alignment horizontal="center" vertical="center" wrapText="1"/>
    </xf>
    <xf numFmtId="0" fontId="29" fillId="0" borderId="20" xfId="0" applyFont="1" applyBorder="1" applyAlignment="1">
      <alignment horizontal="center" vertical="center" wrapText="1"/>
    </xf>
    <xf numFmtId="0" fontId="9" fillId="0" borderId="20" xfId="0" applyFont="1" applyBorder="1" applyAlignment="1">
      <alignment horizontal="left" vertical="center" wrapText="1"/>
    </xf>
    <xf numFmtId="49" fontId="0" fillId="0" borderId="19" xfId="0" applyNumberFormat="1" applyBorder="1" applyAlignment="1">
      <alignment horizontal="center" vertical="center"/>
    </xf>
    <xf numFmtId="49" fontId="0" fillId="0" borderId="21" xfId="0" applyNumberFormat="1" applyBorder="1" applyAlignment="1">
      <alignment horizontal="center" vertical="center"/>
    </xf>
    <xf numFmtId="49" fontId="0" fillId="0" borderId="20" xfId="0" applyNumberFormat="1" applyBorder="1" applyAlignment="1">
      <alignment horizontal="center" vertical="center"/>
    </xf>
    <xf numFmtId="0" fontId="29" fillId="0" borderId="1" xfId="0" applyFont="1" applyBorder="1" applyAlignment="1">
      <alignment horizontal="left" vertical="center" wrapText="1"/>
    </xf>
    <xf numFmtId="49" fontId="0" fillId="0" borderId="1" xfId="0" applyNumberFormat="1" applyBorder="1" applyAlignment="1">
      <alignment horizontal="center" vertical="center"/>
    </xf>
    <xf numFmtId="0" fontId="92" fillId="0" borderId="1" xfId="0" applyFont="1" applyBorder="1" applyAlignment="1">
      <alignment horizontal="center" vertical="center" wrapText="1"/>
    </xf>
    <xf numFmtId="0" fontId="92" fillId="0" borderId="1" xfId="0" applyFont="1" applyBorder="1" applyAlignment="1">
      <alignment horizontal="center" vertical="center"/>
    </xf>
    <xf numFmtId="0" fontId="74" fillId="0" borderId="19" xfId="0" applyFont="1" applyBorder="1" applyAlignment="1">
      <alignment horizontal="left" vertical="center" wrapText="1"/>
    </xf>
    <xf numFmtId="0" fontId="74" fillId="0" borderId="20" xfId="0" applyFont="1" applyBorder="1" applyAlignment="1">
      <alignment horizontal="left" vertical="center" wrapText="1"/>
    </xf>
    <xf numFmtId="0" fontId="75" fillId="0" borderId="19" xfId="0" applyFont="1" applyBorder="1" applyAlignment="1">
      <alignment horizontal="center" vertical="center" wrapText="1"/>
    </xf>
    <xf numFmtId="0" fontId="75" fillId="0" borderId="20" xfId="0" applyFont="1" applyBorder="1" applyAlignment="1">
      <alignment horizontal="center" vertical="center" wrapText="1"/>
    </xf>
    <xf numFmtId="0" fontId="84" fillId="0" borderId="1" xfId="47" applyFont="1" applyFill="1" applyBorder="1" applyAlignment="1">
      <alignment horizontal="left" vertical="center" wrapText="1"/>
    </xf>
    <xf numFmtId="0" fontId="84" fillId="0" borderId="1" xfId="47" applyFont="1" applyBorder="1" applyAlignment="1">
      <alignment horizontal="left" vertical="center" wrapText="1"/>
    </xf>
    <xf numFmtId="0" fontId="84" fillId="0" borderId="1" xfId="47" applyFont="1" applyFill="1" applyBorder="1" applyAlignment="1">
      <alignment horizontal="center" vertical="center" wrapText="1"/>
    </xf>
    <xf numFmtId="0" fontId="9" fillId="0" borderId="19"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4" fillId="0" borderId="19" xfId="47" applyFont="1" applyBorder="1" applyAlignment="1">
      <alignment horizontal="center" vertical="center" wrapText="1"/>
    </xf>
    <xf numFmtId="0" fontId="84" fillId="0" borderId="21" xfId="47" applyFont="1" applyBorder="1" applyAlignment="1">
      <alignment horizontal="center" vertical="center" wrapText="1"/>
    </xf>
    <xf numFmtId="0" fontId="84" fillId="0" borderId="20" xfId="47" applyFont="1" applyBorder="1" applyAlignment="1">
      <alignment horizontal="center" vertical="center" wrapText="1"/>
    </xf>
    <xf numFmtId="0" fontId="21" fillId="0" borderId="1" xfId="0" applyFont="1" applyBorder="1" applyAlignment="1">
      <alignment horizontal="center" vertical="center"/>
    </xf>
    <xf numFmtId="0" fontId="82" fillId="0" borderId="1" xfId="0" applyFont="1" applyBorder="1" applyAlignment="1">
      <alignment horizontal="center" vertical="center" wrapText="1"/>
    </xf>
    <xf numFmtId="0" fontId="82" fillId="0" borderId="1" xfId="0" applyFont="1" applyBorder="1" applyAlignment="1">
      <alignment horizontal="center" vertical="center"/>
    </xf>
    <xf numFmtId="0" fontId="83" fillId="0" borderId="13" xfId="0" applyNumberFormat="1" applyFont="1" applyBorder="1" applyAlignment="1">
      <alignment horizontal="center" vertical="center"/>
    </xf>
    <xf numFmtId="0" fontId="83" fillId="0" borderId="12" xfId="0" applyNumberFormat="1" applyFont="1" applyBorder="1" applyAlignment="1">
      <alignment horizontal="center" vertical="center"/>
    </xf>
    <xf numFmtId="0" fontId="83" fillId="0" borderId="11" xfId="0" applyNumberFormat="1" applyFont="1" applyBorder="1" applyAlignment="1">
      <alignment horizontal="center" vertical="center"/>
    </xf>
    <xf numFmtId="0" fontId="21" fillId="0" borderId="1" xfId="47" applyFont="1" applyFill="1" applyBorder="1" applyAlignment="1">
      <alignment horizontal="center" vertical="center" wrapText="1"/>
    </xf>
    <xf numFmtId="0" fontId="73" fillId="0" borderId="1" xfId="110" applyFont="1" applyFill="1" applyBorder="1" applyAlignment="1">
      <alignment horizontal="left" vertical="center" wrapText="1"/>
    </xf>
    <xf numFmtId="0" fontId="21" fillId="0" borderId="1" xfId="0" applyFont="1" applyBorder="1" applyAlignment="1">
      <alignment horizontal="left" vertical="center" wrapText="1"/>
    </xf>
    <xf numFmtId="0" fontId="73" fillId="0" borderId="13" xfId="110" applyFont="1" applyFill="1" applyBorder="1" applyAlignment="1">
      <alignment horizontal="left" vertical="center" wrapText="1"/>
    </xf>
    <xf numFmtId="0" fontId="21" fillId="0" borderId="12" xfId="0" applyFont="1" applyBorder="1" applyAlignment="1">
      <alignment horizontal="left" vertical="center" wrapText="1"/>
    </xf>
    <xf numFmtId="0" fontId="21" fillId="0" borderId="11" xfId="0" applyFont="1" applyBorder="1" applyAlignment="1">
      <alignment horizontal="left" vertical="center" wrapText="1"/>
    </xf>
    <xf numFmtId="0" fontId="81" fillId="0" borderId="15" xfId="47" applyFont="1" applyFill="1" applyBorder="1" applyAlignment="1">
      <alignment horizontal="left" vertical="center" wrapText="1"/>
    </xf>
    <xf numFmtId="0" fontId="79" fillId="0" borderId="15" xfId="47" applyFont="1" applyFill="1" applyBorder="1" applyAlignment="1">
      <alignment horizontal="left" vertical="center" wrapText="1"/>
    </xf>
    <xf numFmtId="0" fontId="79" fillId="0" borderId="0" xfId="47" applyFont="1" applyFill="1" applyBorder="1" applyAlignment="1">
      <alignment horizontal="left" vertical="center" wrapText="1"/>
    </xf>
    <xf numFmtId="0" fontId="73" fillId="0" borderId="12" xfId="110" applyFont="1" applyFill="1" applyBorder="1" applyAlignment="1">
      <alignment horizontal="left" vertical="center" wrapText="1"/>
    </xf>
    <xf numFmtId="0" fontId="73" fillId="0" borderId="1" xfId="0" applyFont="1" applyBorder="1" applyAlignment="1">
      <alignment horizontal="center" vertical="center" wrapText="1"/>
    </xf>
    <xf numFmtId="49" fontId="22" fillId="0" borderId="13" xfId="109" applyNumberFormat="1" applyFont="1" applyFill="1" applyBorder="1" applyAlignment="1">
      <alignment horizontal="left" vertical="center"/>
    </xf>
    <xf numFmtId="49" fontId="22" fillId="0" borderId="12" xfId="109" applyNumberFormat="1" applyFont="1" applyFill="1" applyBorder="1" applyAlignment="1">
      <alignment horizontal="left" vertical="center"/>
    </xf>
    <xf numFmtId="49" fontId="22" fillId="0" borderId="11" xfId="109" applyNumberFormat="1" applyFont="1" applyFill="1" applyBorder="1" applyAlignment="1">
      <alignment horizontal="left" vertical="center"/>
    </xf>
    <xf numFmtId="0" fontId="73" fillId="0" borderId="11" xfId="110" applyFont="1" applyFill="1" applyBorder="1" applyAlignment="1">
      <alignment horizontal="left" vertical="center" wrapText="1"/>
    </xf>
    <xf numFmtId="0" fontId="73" fillId="0" borderId="1" xfId="0" applyFont="1" applyBorder="1" applyAlignment="1">
      <alignment horizontal="left" vertical="center" wrapText="1"/>
    </xf>
    <xf numFmtId="14" fontId="21" fillId="0" borderId="13" xfId="0" applyNumberFormat="1" applyFont="1" applyBorder="1" applyAlignment="1">
      <alignment horizontal="center" vertical="center"/>
    </xf>
    <xf numFmtId="14" fontId="21" fillId="0" borderId="12" xfId="0" applyNumberFormat="1" applyFont="1" applyBorder="1" applyAlignment="1">
      <alignment horizontal="center" vertical="center"/>
    </xf>
    <xf numFmtId="14" fontId="21" fillId="0" borderId="11" xfId="0" applyNumberFormat="1" applyFont="1" applyBorder="1" applyAlignment="1">
      <alignment horizontal="center" vertical="center"/>
    </xf>
    <xf numFmtId="0" fontId="73" fillId="0" borderId="19" xfId="0" applyFont="1" applyBorder="1" applyAlignment="1">
      <alignment horizontal="center" vertical="center" wrapText="1"/>
    </xf>
    <xf numFmtId="0" fontId="73" fillId="0" borderId="20" xfId="0" applyFont="1" applyBorder="1" applyAlignment="1">
      <alignment horizontal="center" vertical="center" wrapText="1"/>
    </xf>
    <xf numFmtId="0" fontId="73" fillId="0" borderId="19" xfId="0" applyFont="1" applyBorder="1" applyAlignment="1">
      <alignment horizontal="left" vertical="center" wrapText="1"/>
    </xf>
    <xf numFmtId="0" fontId="73" fillId="0" borderId="20" xfId="0" applyFont="1" applyBorder="1" applyAlignment="1">
      <alignment horizontal="left" vertical="center" wrapText="1"/>
    </xf>
    <xf numFmtId="0" fontId="21" fillId="0" borderId="19" xfId="0" applyFont="1" applyBorder="1" applyAlignment="1">
      <alignment horizontal="center" vertical="center"/>
    </xf>
    <xf numFmtId="0" fontId="21" fillId="0" borderId="20" xfId="0" applyFont="1" applyBorder="1" applyAlignment="1">
      <alignment horizontal="center" vertical="center"/>
    </xf>
    <xf numFmtId="49" fontId="21" fillId="0" borderId="1" xfId="0" applyNumberFormat="1" applyFont="1" applyBorder="1" applyAlignment="1">
      <alignment horizontal="center" vertical="center"/>
    </xf>
    <xf numFmtId="0" fontId="84" fillId="0" borderId="1" xfId="47" applyFont="1" applyFill="1" applyBorder="1" applyAlignment="1">
      <alignment vertical="center" wrapText="1"/>
    </xf>
    <xf numFmtId="49" fontId="21" fillId="0" borderId="19" xfId="0" applyNumberFormat="1" applyFont="1" applyBorder="1" applyAlignment="1">
      <alignment horizontal="center" vertical="center"/>
    </xf>
    <xf numFmtId="49" fontId="21" fillId="0" borderId="21" xfId="0" applyNumberFormat="1" applyFont="1" applyBorder="1" applyAlignment="1">
      <alignment horizontal="center" vertical="center"/>
    </xf>
    <xf numFmtId="49" fontId="21" fillId="0" borderId="20" xfId="0" applyNumberFormat="1" applyFont="1" applyBorder="1" applyAlignment="1">
      <alignment horizontal="center" vertical="center"/>
    </xf>
    <xf numFmtId="0" fontId="73" fillId="0" borderId="21" xfId="0" applyFont="1" applyBorder="1" applyAlignment="1">
      <alignment horizontal="center" vertical="center" wrapText="1"/>
    </xf>
    <xf numFmtId="0" fontId="73" fillId="0" borderId="21" xfId="0" applyFont="1" applyBorder="1" applyAlignment="1">
      <alignment horizontal="left" vertical="center" wrapText="1"/>
    </xf>
    <xf numFmtId="0" fontId="83" fillId="0" borderId="1" xfId="0" applyNumberFormat="1" applyFont="1" applyBorder="1" applyAlignment="1">
      <alignment horizontal="center" vertical="center"/>
    </xf>
    <xf numFmtId="0" fontId="84" fillId="0" borderId="1" xfId="0" applyFont="1" applyBorder="1" applyAlignment="1">
      <alignment horizontal="left" vertical="center" wrapText="1"/>
    </xf>
    <xf numFmtId="0" fontId="84" fillId="0" borderId="1" xfId="0" applyFont="1" applyBorder="1" applyAlignment="1">
      <alignment horizontal="center" vertical="center" wrapText="1"/>
    </xf>
    <xf numFmtId="0" fontId="32" fillId="0" borderId="13" xfId="81" applyFont="1" applyBorder="1" applyAlignment="1">
      <alignment horizontal="center" vertical="center"/>
    </xf>
    <xf numFmtId="0" fontId="32" fillId="0" borderId="11" xfId="81" applyFont="1" applyBorder="1" applyAlignment="1">
      <alignment horizontal="center" vertical="center"/>
    </xf>
    <xf numFmtId="0" fontId="32" fillId="0" borderId="13" xfId="81" applyFont="1" applyBorder="1" applyAlignment="1">
      <alignment horizontal="center" vertical="center" wrapText="1"/>
    </xf>
    <xf numFmtId="0" fontId="32" fillId="0" borderId="12" xfId="81" applyFont="1" applyBorder="1" applyAlignment="1">
      <alignment horizontal="center" vertical="center"/>
    </xf>
    <xf numFmtId="14" fontId="32" fillId="0" borderId="13" xfId="81" applyNumberFormat="1" applyFont="1" applyBorder="1" applyAlignment="1">
      <alignment horizontal="center" vertical="center"/>
    </xf>
    <xf numFmtId="14" fontId="32" fillId="0" borderId="11" xfId="81" applyNumberFormat="1" applyFont="1" applyBorder="1" applyAlignment="1">
      <alignment horizontal="center" vertical="center"/>
    </xf>
    <xf numFmtId="0" fontId="59" fillId="0" borderId="1" xfId="83" applyFont="1" applyBorder="1" applyAlignment="1">
      <alignment horizontal="left" vertical="center" wrapText="1"/>
    </xf>
    <xf numFmtId="0" fontId="91" fillId="0" borderId="17" xfId="0" applyFont="1" applyBorder="1" applyAlignment="1">
      <alignment horizontal="center" vertical="center" wrapText="1"/>
    </xf>
    <xf numFmtId="0" fontId="91" fillId="0" borderId="15" xfId="0" applyFont="1" applyBorder="1" applyAlignment="1">
      <alignment horizontal="center" vertical="center" wrapText="1"/>
    </xf>
    <xf numFmtId="0" fontId="91" fillId="0" borderId="18" xfId="0" applyFont="1" applyBorder="1" applyAlignment="1">
      <alignment horizontal="center" vertical="center" wrapText="1"/>
    </xf>
    <xf numFmtId="0" fontId="91" fillId="0" borderId="0" xfId="0" applyFont="1" applyBorder="1" applyAlignment="1">
      <alignment horizontal="center" vertical="center" wrapText="1"/>
    </xf>
    <xf numFmtId="0" fontId="91" fillId="0" borderId="16" xfId="0" applyFont="1" applyBorder="1" applyAlignment="1">
      <alignment horizontal="center" vertical="center" wrapText="1"/>
    </xf>
    <xf numFmtId="0" fontId="91" fillId="0" borderId="14" xfId="0" applyFont="1" applyBorder="1" applyAlignment="1">
      <alignment horizontal="center" vertical="center" wrapText="1"/>
    </xf>
    <xf numFmtId="0" fontId="64" fillId="0" borderId="13" xfId="0" applyFont="1" applyBorder="1" applyAlignment="1">
      <alignment horizontal="center" vertical="center"/>
    </xf>
    <xf numFmtId="0" fontId="64" fillId="0" borderId="11" xfId="0" applyFont="1" applyBorder="1" applyAlignment="1">
      <alignment horizontal="center" vertical="center"/>
    </xf>
    <xf numFmtId="0" fontId="64" fillId="0" borderId="1" xfId="0" applyFont="1" applyBorder="1" applyAlignment="1">
      <alignment horizontal="center" vertical="center"/>
    </xf>
    <xf numFmtId="0" fontId="60" fillId="0" borderId="1" xfId="81" applyFont="1" applyBorder="1" applyAlignment="1">
      <alignment horizontal="center" vertical="center"/>
    </xf>
    <xf numFmtId="0" fontId="87" fillId="0" borderId="1" xfId="83" applyFont="1" applyFill="1" applyBorder="1" applyAlignment="1">
      <alignment horizontal="center" vertical="center" wrapText="1"/>
    </xf>
    <xf numFmtId="0" fontId="59" fillId="0" borderId="1" xfId="83" applyFont="1" applyBorder="1" applyAlignment="1">
      <alignment horizontal="center" vertical="center" wrapText="1"/>
    </xf>
    <xf numFmtId="0" fontId="87" fillId="0" borderId="13" xfId="83" applyFont="1" applyBorder="1" applyAlignment="1">
      <alignment horizontal="center" vertical="center" wrapText="1"/>
    </xf>
    <xf numFmtId="0" fontId="87" fillId="0" borderId="11" xfId="83" applyFont="1" applyBorder="1" applyAlignment="1">
      <alignment horizontal="center" vertical="center" wrapText="1"/>
    </xf>
    <xf numFmtId="0" fontId="80" fillId="0" borderId="13" xfId="83" applyFont="1" applyBorder="1" applyAlignment="1">
      <alignment horizontal="center" vertical="center" wrapText="1"/>
    </xf>
    <xf numFmtId="0" fontId="80" fillId="0" borderId="11" xfId="83" applyFont="1" applyBorder="1" applyAlignment="1">
      <alignment horizontal="center" vertical="center" wrapText="1"/>
    </xf>
    <xf numFmtId="0" fontId="87" fillId="0" borderId="1" xfId="83" applyFont="1" applyBorder="1" applyAlignment="1">
      <alignment horizontal="center" vertical="center" wrapText="1"/>
    </xf>
    <xf numFmtId="14" fontId="80" fillId="0" borderId="13" xfId="83" applyNumberFormat="1" applyFont="1" applyBorder="1" applyAlignment="1">
      <alignment horizontal="center" vertical="center" wrapText="1"/>
    </xf>
    <xf numFmtId="14" fontId="80" fillId="0" borderId="11" xfId="83" applyNumberFormat="1" applyFont="1" applyBorder="1" applyAlignment="1">
      <alignment horizontal="center" vertical="center" wrapText="1"/>
    </xf>
    <xf numFmtId="14" fontId="59" fillId="0" borderId="13" xfId="83" applyNumberFormat="1" applyFont="1" applyBorder="1" applyAlignment="1">
      <alignment horizontal="center" vertical="center" wrapText="1"/>
    </xf>
    <xf numFmtId="14" fontId="59" fillId="0" borderId="11" xfId="83" applyNumberFormat="1" applyFont="1" applyBorder="1" applyAlignment="1">
      <alignment horizontal="center" vertical="center" wrapText="1"/>
    </xf>
    <xf numFmtId="0" fontId="80" fillId="0" borderId="1" xfId="83" applyFont="1" applyBorder="1" applyAlignment="1">
      <alignment horizontal="left" vertical="center" wrapText="1"/>
    </xf>
    <xf numFmtId="0" fontId="4" fillId="27" borderId="0" xfId="21" applyFont="1" applyFill="1" applyAlignment="1">
      <alignment horizontal="center" vertical="top" wrapText="1"/>
    </xf>
    <xf numFmtId="0" fontId="27" fillId="0" borderId="0" xfId="21" applyFont="1" applyFill="1" applyAlignment="1">
      <alignment horizontal="left" vertical="top" shrinkToFit="1"/>
    </xf>
    <xf numFmtId="0" fontId="4" fillId="27" borderId="0" xfId="21" applyFont="1" applyFill="1" applyAlignment="1">
      <alignment horizontal="center" vertical="top"/>
    </xf>
  </cellXfs>
  <cellStyles count="112">
    <cellStyle name="20% - 强调文字颜色 1 2" xfId="49" xr:uid="{00000000-0005-0000-0000-000000000000}"/>
    <cellStyle name="20% - 强调文字颜色 2 2" xfId="50" xr:uid="{00000000-0005-0000-0000-000001000000}"/>
    <cellStyle name="20% - 强调文字颜色 3 2" xfId="51" xr:uid="{00000000-0005-0000-0000-000002000000}"/>
    <cellStyle name="20% - 强调文字颜色 4 2" xfId="52" xr:uid="{00000000-0005-0000-0000-000003000000}"/>
    <cellStyle name="20% - 强调文字颜色 5 2" xfId="53" xr:uid="{00000000-0005-0000-0000-000004000000}"/>
    <cellStyle name="20% - 强调文字颜色 6 2" xfId="54" xr:uid="{00000000-0005-0000-0000-000005000000}"/>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强调文字颜色 1 2" xfId="55" xr:uid="{00000000-0005-0000-0000-00000C000000}"/>
    <cellStyle name="40% - 强调文字颜色 2 2" xfId="56" xr:uid="{00000000-0005-0000-0000-00000D000000}"/>
    <cellStyle name="40% - 强调文字颜色 3 2" xfId="57" xr:uid="{00000000-0005-0000-0000-00000E000000}"/>
    <cellStyle name="40% - 强调文字颜色 4 2" xfId="58" xr:uid="{00000000-0005-0000-0000-00000F000000}"/>
    <cellStyle name="40% - 强调文字颜色 5 2" xfId="59" xr:uid="{00000000-0005-0000-0000-000010000000}"/>
    <cellStyle name="40% - 强调文字颜色 6 2" xfId="60" xr:uid="{00000000-0005-0000-0000-000011000000}"/>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强调文字颜色 1 2" xfId="61" xr:uid="{00000000-0005-0000-0000-000018000000}"/>
    <cellStyle name="60% - 强调文字颜色 2 2" xfId="62" xr:uid="{00000000-0005-0000-0000-000019000000}"/>
    <cellStyle name="60% - 强调文字颜色 3 2" xfId="63" xr:uid="{00000000-0005-0000-0000-00001A000000}"/>
    <cellStyle name="60% - 强调文字颜色 4 2" xfId="64" xr:uid="{00000000-0005-0000-0000-00001B000000}"/>
    <cellStyle name="60% - 强调文字颜色 5 2" xfId="65" xr:uid="{00000000-0005-0000-0000-00001C000000}"/>
    <cellStyle name="60% - 强调文字颜色 6 2" xfId="66" xr:uid="{00000000-0005-0000-0000-00001D000000}"/>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Normal 10pt" xfId="19" xr:uid="{00000000-0005-0000-0000-000024000000}"/>
    <cellStyle name="Normal_DFMEA ranking scale_1" xfId="20" xr:uid="{00000000-0005-0000-0000-000025000000}"/>
    <cellStyle name="Normal_DFMEA-DRBFM-Workbook-2.32b" xfId="21" xr:uid="{00000000-0005-0000-0000-000026000000}"/>
    <cellStyle name="Normal_DRBTR template V2.31_16Nov04" xfId="22" xr:uid="{00000000-0005-0000-0000-000027000000}"/>
    <cellStyle name="Star" xfId="23" xr:uid="{00000000-0005-0000-0000-000028000000}"/>
    <cellStyle name="标题" xfId="24" builtinId="15" customBuiltin="1"/>
    <cellStyle name="标题 1" xfId="25" builtinId="16" customBuiltin="1"/>
    <cellStyle name="标题 1 2" xfId="67" xr:uid="{00000000-0005-0000-0000-00002B000000}"/>
    <cellStyle name="标题 2" xfId="26" builtinId="17" customBuiltin="1"/>
    <cellStyle name="标题 2 2" xfId="68" xr:uid="{00000000-0005-0000-0000-00002D000000}"/>
    <cellStyle name="标题 3" xfId="27" builtinId="18" customBuiltin="1"/>
    <cellStyle name="标题 3 2" xfId="69" xr:uid="{00000000-0005-0000-0000-00002F000000}"/>
    <cellStyle name="标题 4" xfId="28" builtinId="19" customBuiltin="1"/>
    <cellStyle name="标题 4 2" xfId="70" xr:uid="{00000000-0005-0000-0000-000031000000}"/>
    <cellStyle name="标题 5" xfId="71" xr:uid="{00000000-0005-0000-0000-000032000000}"/>
    <cellStyle name="差" xfId="29" builtinId="27" customBuiltin="1"/>
    <cellStyle name="差 2" xfId="72" xr:uid="{00000000-0005-0000-0000-000034000000}"/>
    <cellStyle name="差_new可重复开闭夹子工艺" xfId="73" xr:uid="{00000000-0005-0000-0000-000035000000}"/>
    <cellStyle name="差_new可重复开闭夹子工艺 2" xfId="74" xr:uid="{00000000-0005-0000-0000-000036000000}"/>
    <cellStyle name="差_new可重复开闭夹子工艺1" xfId="75" xr:uid="{00000000-0005-0000-0000-000037000000}"/>
    <cellStyle name="差_new可重复开闭夹子工艺1 2" xfId="76" xr:uid="{00000000-0005-0000-0000-000038000000}"/>
    <cellStyle name="差_可重复开闭止血夹工艺规程10.16" xfId="77" xr:uid="{00000000-0005-0000-0000-000039000000}"/>
    <cellStyle name="差_可重复开闭止血夹工艺规程10.16 2" xfId="78" xr:uid="{00000000-0005-0000-0000-00003A000000}"/>
    <cellStyle name="常规" xfId="0" builtinId="0"/>
    <cellStyle name="常规 2" xfId="47" xr:uid="{00000000-0005-0000-0000-00003C000000}"/>
    <cellStyle name="常规 2 2" xfId="79" xr:uid="{00000000-0005-0000-0000-00003D000000}"/>
    <cellStyle name="常规 2 2 2" xfId="80" xr:uid="{00000000-0005-0000-0000-00003E000000}"/>
    <cellStyle name="常规 2 3" xfId="109" xr:uid="{00000000-0005-0000-0000-00003F000000}"/>
    <cellStyle name="常规 3" xfId="48" xr:uid="{00000000-0005-0000-0000-000040000000}"/>
    <cellStyle name="常规 3 2" xfId="81" xr:uid="{00000000-0005-0000-0000-000041000000}"/>
    <cellStyle name="常规 3 2 2" xfId="82" xr:uid="{00000000-0005-0000-0000-000042000000}"/>
    <cellStyle name="常规 3 3" xfId="108" xr:uid="{00000000-0005-0000-0000-000043000000}"/>
    <cellStyle name="常规 4" xfId="83" xr:uid="{00000000-0005-0000-0000-000044000000}"/>
    <cellStyle name="常规 4 2" xfId="111" xr:uid="{00000000-0005-0000-0000-000045000000}"/>
    <cellStyle name="常规 9" xfId="110" xr:uid="{00000000-0005-0000-0000-000046000000}"/>
    <cellStyle name="好" xfId="30" builtinId="26" customBuiltin="1"/>
    <cellStyle name="好 2" xfId="84" xr:uid="{00000000-0005-0000-0000-000048000000}"/>
    <cellStyle name="好_new可重复开闭夹子工艺" xfId="85" xr:uid="{00000000-0005-0000-0000-000049000000}"/>
    <cellStyle name="好_new可重复开闭夹子工艺 2" xfId="86" xr:uid="{00000000-0005-0000-0000-00004A000000}"/>
    <cellStyle name="好_new可重复开闭夹子工艺1" xfId="87" xr:uid="{00000000-0005-0000-0000-00004B000000}"/>
    <cellStyle name="好_new可重复开闭夹子工艺1 2" xfId="88" xr:uid="{00000000-0005-0000-0000-00004C000000}"/>
    <cellStyle name="好_可重复开闭止血夹工艺规程10.16" xfId="89" xr:uid="{00000000-0005-0000-0000-00004D000000}"/>
    <cellStyle name="好_可重复开闭止血夹工艺规程10.16 2" xfId="90" xr:uid="{00000000-0005-0000-0000-00004E000000}"/>
    <cellStyle name="汇总" xfId="31" builtinId="25" customBuiltin="1"/>
    <cellStyle name="汇总 2" xfId="91" xr:uid="{00000000-0005-0000-0000-000050000000}"/>
    <cellStyle name="计算" xfId="32" builtinId="22" customBuiltin="1"/>
    <cellStyle name="计算 2" xfId="92" xr:uid="{00000000-0005-0000-0000-000052000000}"/>
    <cellStyle name="检查单元格" xfId="33" builtinId="23" customBuiltin="1"/>
    <cellStyle name="检查单元格 2" xfId="93" xr:uid="{00000000-0005-0000-0000-000054000000}"/>
    <cellStyle name="解释性文本" xfId="34" builtinId="53" customBuiltin="1"/>
    <cellStyle name="解释性文本 2" xfId="94" xr:uid="{00000000-0005-0000-0000-000056000000}"/>
    <cellStyle name="警告文本" xfId="35" builtinId="11" customBuiltin="1"/>
    <cellStyle name="警告文本 2" xfId="95" xr:uid="{00000000-0005-0000-0000-000058000000}"/>
    <cellStyle name="链接单元格" xfId="36" builtinId="24" customBuiltin="1"/>
    <cellStyle name="链接单元格 2" xfId="96" xr:uid="{00000000-0005-0000-0000-00005A000000}"/>
    <cellStyle name="强调文字颜色 1 2" xfId="97" xr:uid="{00000000-0005-0000-0000-00005B000000}"/>
    <cellStyle name="强调文字颜色 2 2" xfId="98" xr:uid="{00000000-0005-0000-0000-00005C000000}"/>
    <cellStyle name="强调文字颜色 3 2" xfId="99" xr:uid="{00000000-0005-0000-0000-00005D000000}"/>
    <cellStyle name="强调文字颜色 4 2" xfId="100" xr:uid="{00000000-0005-0000-0000-00005E000000}"/>
    <cellStyle name="强调文字颜色 5 2" xfId="101" xr:uid="{00000000-0005-0000-0000-00005F000000}"/>
    <cellStyle name="强调文字颜色 6 2" xfId="102" xr:uid="{00000000-0005-0000-0000-000060000000}"/>
    <cellStyle name="适中" xfId="43" builtinId="28" customBuiltin="1"/>
    <cellStyle name="适中 2" xfId="103" xr:uid="{00000000-0005-0000-0000-000062000000}"/>
    <cellStyle name="输出" xfId="44" builtinId="21" customBuiltin="1"/>
    <cellStyle name="输出 2" xfId="104" xr:uid="{00000000-0005-0000-0000-000064000000}"/>
    <cellStyle name="输入" xfId="45" builtinId="20" customBuiltin="1"/>
    <cellStyle name="输入 2" xfId="105" xr:uid="{00000000-0005-0000-0000-000066000000}"/>
    <cellStyle name="一般_~8057313" xfId="106" xr:uid="{00000000-0005-0000-0000-000067000000}"/>
    <cellStyle name="着色 1" xfId="37" builtinId="29" customBuiltin="1"/>
    <cellStyle name="着色 2" xfId="38" builtinId="33" customBuiltin="1"/>
    <cellStyle name="着色 3" xfId="39" builtinId="37" customBuiltin="1"/>
    <cellStyle name="着色 4" xfId="40" builtinId="41" customBuiltin="1"/>
    <cellStyle name="着色 5" xfId="41" builtinId="45" customBuiltin="1"/>
    <cellStyle name="着色 6" xfId="42" builtinId="49" customBuiltin="1"/>
    <cellStyle name="注释" xfId="46" builtinId="10" customBuiltin="1"/>
    <cellStyle name="注释 2" xfId="107" xr:uid="{00000000-0005-0000-0000-00006F000000}"/>
  </cellStyles>
  <dxfs count="0"/>
  <tableStyles count="0" defaultTableStyle="TableStyleMedium9"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checked="Checked" lockText="1"/>
</file>

<file path=xl/ctrlProps/ctrlProp2.xml><?xml version="1.0" encoding="utf-8"?>
<formControlPr xmlns="http://schemas.microsoft.com/office/spreadsheetml/2009/9/main" objectType="CheckBox" checked="Checked" lockText="1"/>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6</xdr:col>
      <xdr:colOff>371475</xdr:colOff>
      <xdr:row>0</xdr:row>
      <xdr:rowOff>409575</xdr:rowOff>
    </xdr:to>
    <xdr:sp macro="" textlink="">
      <xdr:nvSpPr>
        <xdr:cNvPr id="7169" name="Text Box 1">
          <a:extLst>
            <a:ext uri="{FF2B5EF4-FFF2-40B4-BE49-F238E27FC236}">
              <a16:creationId xmlns:a16="http://schemas.microsoft.com/office/drawing/2014/main" id="{00000000-0008-0000-0000-0000011C0000}"/>
            </a:ext>
          </a:extLst>
        </xdr:cNvPr>
        <xdr:cNvSpPr txBox="1">
          <a:spLocks noChangeArrowheads="1"/>
        </xdr:cNvSpPr>
      </xdr:nvSpPr>
      <xdr:spPr bwMode="auto">
        <a:xfrm>
          <a:off x="47625" y="47625"/>
          <a:ext cx="6972300" cy="361950"/>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altLang="zh-CN" sz="1000" b="0" i="0" u="none" strike="noStrike" baseline="0">
              <a:solidFill>
                <a:srgbClr val="000000"/>
              </a:solidFill>
              <a:latin typeface="Arial"/>
              <a:cs typeface="Arial"/>
            </a:rPr>
            <a:t>Enter each change on a new line. Do NOT skip a line because the code will stop searching when a blank line is found.</a:t>
          </a:r>
        </a:p>
        <a:p>
          <a:pPr algn="l" rtl="0">
            <a:defRPr sz="1000"/>
          </a:pPr>
          <a:r>
            <a:rPr lang="en-US" altLang="zh-CN" sz="1000" b="0" i="0" u="none" strike="noStrike" baseline="0">
              <a:solidFill>
                <a:srgbClr val="000000"/>
              </a:solidFill>
              <a:latin typeface="Arial"/>
              <a:cs typeface="Arial"/>
            </a:rPr>
            <a:t>When this workbook is saved, this sheet will be hidden to prevent users from inadvertently modifying this sheet.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266700</xdr:colOff>
      <xdr:row>8</xdr:row>
      <xdr:rowOff>180975</xdr:rowOff>
    </xdr:from>
    <xdr:to>
      <xdr:col>8</xdr:col>
      <xdr:colOff>57150</xdr:colOff>
      <xdr:row>8</xdr:row>
      <xdr:rowOff>695325</xdr:rowOff>
    </xdr:to>
    <xdr:sp macro="" textlink="">
      <xdr:nvSpPr>
        <xdr:cNvPr id="49163" name="blkPOA">
          <a:extLst>
            <a:ext uri="{FF2B5EF4-FFF2-40B4-BE49-F238E27FC236}">
              <a16:creationId xmlns:a16="http://schemas.microsoft.com/office/drawing/2014/main" id="{00000000-0008-0000-0100-00000BC00000}"/>
            </a:ext>
          </a:extLst>
        </xdr:cNvPr>
        <xdr:cNvSpPr>
          <a:spLocks noChangeArrowheads="1"/>
        </xdr:cNvSpPr>
      </xdr:nvSpPr>
      <xdr:spPr bwMode="auto">
        <a:xfrm>
          <a:off x="6743700" y="9296400"/>
          <a:ext cx="1009650" cy="514350"/>
        </a:xfrm>
        <a:prstGeom prst="ellipse">
          <a:avLst/>
        </a:prstGeom>
        <a:solidFill>
          <a:srgbClr val="FFFFFF"/>
        </a:solidFill>
        <a:ln w="9525">
          <a:solidFill>
            <a:srgbClr val="000000"/>
          </a:solidFill>
          <a:round/>
          <a:headEnd/>
          <a:tailEnd/>
        </a:ln>
      </xdr:spPr>
    </xdr:sp>
    <xdr:clientData/>
  </xdr:twoCellAnchor>
  <xdr:twoCellAnchor editAs="oneCell">
    <xdr:from>
      <xdr:col>7</xdr:col>
      <xdr:colOff>561975</xdr:colOff>
      <xdr:row>6</xdr:row>
      <xdr:rowOff>66675</xdr:rowOff>
    </xdr:from>
    <xdr:to>
      <xdr:col>9</xdr:col>
      <xdr:colOff>533400</xdr:colOff>
      <xdr:row>6</xdr:row>
      <xdr:rowOff>619125</xdr:rowOff>
    </xdr:to>
    <xdr:sp macro="" textlink="">
      <xdr:nvSpPr>
        <xdr:cNvPr id="49164" name="blkNoScope">
          <a:extLst>
            <a:ext uri="{FF2B5EF4-FFF2-40B4-BE49-F238E27FC236}">
              <a16:creationId xmlns:a16="http://schemas.microsoft.com/office/drawing/2014/main" id="{00000000-0008-0000-0100-00000CC00000}"/>
            </a:ext>
          </a:extLst>
        </xdr:cNvPr>
        <xdr:cNvSpPr>
          <a:spLocks noChangeArrowheads="1"/>
        </xdr:cNvSpPr>
      </xdr:nvSpPr>
      <xdr:spPr bwMode="auto">
        <a:xfrm>
          <a:off x="7648575" y="6781800"/>
          <a:ext cx="1190625" cy="552450"/>
        </a:xfrm>
        <a:prstGeom prst="flowChartProcess">
          <a:avLst/>
        </a:prstGeom>
        <a:solidFill>
          <a:srgbClr val="C0C0C0"/>
        </a:solidFill>
        <a:ln w="12700">
          <a:solidFill>
            <a:srgbClr val="000000"/>
          </a:solidFill>
          <a:miter lim="800000"/>
          <a:headEnd/>
          <a:tailEnd/>
        </a:ln>
      </xdr:spPr>
    </xdr:sp>
    <xdr:clientData/>
  </xdr:twoCellAnchor>
  <xdr:twoCellAnchor editAs="oneCell">
    <xdr:from>
      <xdr:col>1</xdr:col>
      <xdr:colOff>657225</xdr:colOff>
      <xdr:row>5</xdr:row>
      <xdr:rowOff>352425</xdr:rowOff>
    </xdr:from>
    <xdr:to>
      <xdr:col>1</xdr:col>
      <xdr:colOff>666750</xdr:colOff>
      <xdr:row>5</xdr:row>
      <xdr:rowOff>847725</xdr:rowOff>
    </xdr:to>
    <xdr:cxnSp macro="">
      <xdr:nvCxnSpPr>
        <xdr:cNvPr id="49165" name="blkConnector">
          <a:extLst>
            <a:ext uri="{FF2B5EF4-FFF2-40B4-BE49-F238E27FC236}">
              <a16:creationId xmlns:a16="http://schemas.microsoft.com/office/drawing/2014/main" id="{00000000-0008-0000-0100-00000DC00000}"/>
            </a:ext>
          </a:extLst>
        </xdr:cNvPr>
        <xdr:cNvCxnSpPr>
          <a:cxnSpLocks noChangeShapeType="1"/>
        </xdr:cNvCxnSpPr>
      </xdr:nvCxnSpPr>
      <xdr:spPr bwMode="auto">
        <a:xfrm>
          <a:off x="1581150" y="5867400"/>
          <a:ext cx="9525" cy="495300"/>
        </a:xfrm>
        <a:prstGeom prst="bentConnector3">
          <a:avLst>
            <a:gd name="adj1" fmla="val 2400000"/>
          </a:avLst>
        </a:prstGeom>
        <a:noFill/>
        <a:ln w="9525">
          <a:solidFill>
            <a:srgbClr val="000000"/>
          </a:solidFill>
          <a:miter lim="800000"/>
          <a:headEnd/>
          <a:tailEnd/>
        </a:ln>
      </xdr:spPr>
    </xdr:cxnSp>
    <xdr:clientData/>
  </xdr:twoCellAnchor>
  <xdr:twoCellAnchor editAs="oneCell">
    <xdr:from>
      <xdr:col>1</xdr:col>
      <xdr:colOff>495300</xdr:colOff>
      <xdr:row>9</xdr:row>
      <xdr:rowOff>428625</xdr:rowOff>
    </xdr:from>
    <xdr:to>
      <xdr:col>1</xdr:col>
      <xdr:colOff>1295400</xdr:colOff>
      <xdr:row>9</xdr:row>
      <xdr:rowOff>657225</xdr:rowOff>
    </xdr:to>
    <xdr:cxnSp macro="">
      <xdr:nvCxnSpPr>
        <xdr:cNvPr id="49166" name="blkMotion">
          <a:extLst>
            <a:ext uri="{FF2B5EF4-FFF2-40B4-BE49-F238E27FC236}">
              <a16:creationId xmlns:a16="http://schemas.microsoft.com/office/drawing/2014/main" id="{00000000-0008-0000-0100-00000EC00000}"/>
            </a:ext>
          </a:extLst>
        </xdr:cNvPr>
        <xdr:cNvCxnSpPr>
          <a:cxnSpLocks noChangeShapeType="1"/>
        </xdr:cNvCxnSpPr>
      </xdr:nvCxnSpPr>
      <xdr:spPr bwMode="auto">
        <a:xfrm>
          <a:off x="1419225" y="10744200"/>
          <a:ext cx="800100" cy="228600"/>
        </a:xfrm>
        <a:prstGeom prst="bentConnector3">
          <a:avLst>
            <a:gd name="adj1" fmla="val 50000"/>
          </a:avLst>
        </a:prstGeom>
        <a:noFill/>
        <a:ln w="9525">
          <a:solidFill>
            <a:srgbClr val="000000"/>
          </a:solidFill>
          <a:prstDash val="dashDot"/>
          <a:miter lim="800000"/>
          <a:headEnd/>
          <a:tailEnd/>
        </a:ln>
      </xdr:spPr>
    </xdr:cxnSp>
    <xdr:clientData/>
  </xdr:twoCellAnchor>
  <xdr:twoCellAnchor>
    <xdr:from>
      <xdr:col>1</xdr:col>
      <xdr:colOff>219075</xdr:colOff>
      <xdr:row>3</xdr:row>
      <xdr:rowOff>619125</xdr:rowOff>
    </xdr:from>
    <xdr:to>
      <xdr:col>1</xdr:col>
      <xdr:colOff>1533525</xdr:colOff>
      <xdr:row>3</xdr:row>
      <xdr:rowOff>619125</xdr:rowOff>
    </xdr:to>
    <xdr:sp macro="" textlink="">
      <xdr:nvSpPr>
        <xdr:cNvPr id="49167" name="Line 35">
          <a:extLst>
            <a:ext uri="{FF2B5EF4-FFF2-40B4-BE49-F238E27FC236}">
              <a16:creationId xmlns:a16="http://schemas.microsoft.com/office/drawing/2014/main" id="{00000000-0008-0000-0100-00000FC00000}"/>
            </a:ext>
          </a:extLst>
        </xdr:cNvPr>
        <xdr:cNvSpPr>
          <a:spLocks noChangeShapeType="1"/>
        </xdr:cNvSpPr>
      </xdr:nvSpPr>
      <xdr:spPr bwMode="auto">
        <a:xfrm>
          <a:off x="1143000" y="3733800"/>
          <a:ext cx="1314450" cy="0"/>
        </a:xfrm>
        <a:prstGeom prst="line">
          <a:avLst/>
        </a:prstGeom>
        <a:noFill/>
        <a:ln w="9525">
          <a:solidFill>
            <a:srgbClr val="000000"/>
          </a:solidFill>
          <a:round/>
          <a:headEnd/>
          <a:tailEnd/>
        </a:ln>
      </xdr:spPr>
    </xdr:sp>
    <xdr:clientData/>
  </xdr:twoCellAnchor>
  <xdr:twoCellAnchor>
    <xdr:from>
      <xdr:col>8</xdr:col>
      <xdr:colOff>200025</xdr:colOff>
      <xdr:row>7</xdr:row>
      <xdr:rowOff>133350</xdr:rowOff>
    </xdr:from>
    <xdr:to>
      <xdr:col>9</xdr:col>
      <xdr:colOff>590550</xdr:colOff>
      <xdr:row>7</xdr:row>
      <xdr:rowOff>647700</xdr:rowOff>
    </xdr:to>
    <xdr:grpSp>
      <xdr:nvGrpSpPr>
        <xdr:cNvPr id="49168" name="grpComponent">
          <a:extLst>
            <a:ext uri="{FF2B5EF4-FFF2-40B4-BE49-F238E27FC236}">
              <a16:creationId xmlns:a16="http://schemas.microsoft.com/office/drawing/2014/main" id="{00000000-0008-0000-0100-000010C00000}"/>
            </a:ext>
          </a:extLst>
        </xdr:cNvPr>
        <xdr:cNvGrpSpPr>
          <a:grpSpLocks/>
        </xdr:cNvGrpSpPr>
      </xdr:nvGrpSpPr>
      <xdr:grpSpPr bwMode="auto">
        <a:xfrm>
          <a:off x="7896225" y="8048625"/>
          <a:ext cx="1000125" cy="514350"/>
          <a:chOff x="216" y="223"/>
          <a:chExt cx="106" cy="54"/>
        </a:xfrm>
      </xdr:grpSpPr>
      <xdr:sp macro="" textlink="">
        <xdr:nvSpPr>
          <xdr:cNvPr id="49221" name="blkComponent">
            <a:extLst>
              <a:ext uri="{FF2B5EF4-FFF2-40B4-BE49-F238E27FC236}">
                <a16:creationId xmlns:a16="http://schemas.microsoft.com/office/drawing/2014/main" id="{00000000-0008-0000-0100-000045C00000}"/>
              </a:ext>
            </a:extLst>
          </xdr:cNvPr>
          <xdr:cNvSpPr>
            <a:spLocks noChangeArrowheads="1"/>
          </xdr:cNvSpPr>
        </xdr:nvSpPr>
        <xdr:spPr bwMode="auto">
          <a:xfrm>
            <a:off x="216" y="223"/>
            <a:ext cx="106" cy="54"/>
          </a:xfrm>
          <a:prstGeom prst="ellipse">
            <a:avLst/>
          </a:prstGeom>
          <a:solidFill>
            <a:srgbClr val="FFFFFF"/>
          </a:solidFill>
          <a:ln w="9525">
            <a:solidFill>
              <a:srgbClr val="000000"/>
            </a:solidFill>
            <a:round/>
            <a:headEnd/>
            <a:tailEnd/>
          </a:ln>
        </xdr:spPr>
      </xdr:sp>
      <xdr:sp macro="" textlink="">
        <xdr:nvSpPr>
          <xdr:cNvPr id="5171" name="lblLetter">
            <a:extLst>
              <a:ext uri="{FF2B5EF4-FFF2-40B4-BE49-F238E27FC236}">
                <a16:creationId xmlns:a16="http://schemas.microsoft.com/office/drawing/2014/main" id="{00000000-0008-0000-0100-000033140000}"/>
              </a:ext>
            </a:extLst>
          </xdr:cNvPr>
          <xdr:cNvSpPr txBox="1">
            <a:spLocks noChangeArrowheads="1"/>
          </xdr:cNvSpPr>
        </xdr:nvSpPr>
        <xdr:spPr bwMode="auto">
          <a:xfrm>
            <a:off x="231" y="223"/>
            <a:ext cx="13" cy="25"/>
          </a:xfrm>
          <a:prstGeom prst="rect">
            <a:avLst/>
          </a:prstGeom>
          <a:solidFill>
            <a:srgbClr val="FFFFFF"/>
          </a:solidFill>
          <a:ln w="9525">
            <a:solidFill>
              <a:srgbClr val="000000"/>
            </a:solidFill>
            <a:miter lim="800000"/>
            <a:headEnd/>
            <a:tailEnd/>
          </a:ln>
        </xdr:spPr>
        <xdr:txBody>
          <a:bodyPr wrap="none" lIns="18288" tIns="22860" rIns="18288" bIns="22860" anchor="ctr" upright="1">
            <a:spAutoFit/>
          </a:bodyPr>
          <a:lstStyle/>
          <a:p>
            <a:pPr algn="ctr" rtl="0">
              <a:defRPr sz="1000"/>
            </a:pPr>
            <a:r>
              <a:rPr lang="en-US" altLang="zh-CN" sz="1000" b="0" i="0" u="none" strike="noStrike" baseline="0">
                <a:solidFill>
                  <a:srgbClr val="FF0000"/>
                </a:solidFill>
                <a:latin typeface="Arial"/>
                <a:cs typeface="Arial"/>
              </a:rPr>
              <a:t>A</a:t>
            </a:r>
          </a:p>
        </xdr:txBody>
      </xdr:sp>
    </xdr:grpSp>
    <xdr:clientData/>
  </xdr:twoCellAnchor>
  <xdr:twoCellAnchor>
    <xdr:from>
      <xdr:col>5</xdr:col>
      <xdr:colOff>381000</xdr:colOff>
      <xdr:row>2</xdr:row>
      <xdr:rowOff>561975</xdr:rowOff>
    </xdr:from>
    <xdr:to>
      <xdr:col>7</xdr:col>
      <xdr:colOff>342900</xdr:colOff>
      <xdr:row>2</xdr:row>
      <xdr:rowOff>1123950</xdr:rowOff>
    </xdr:to>
    <xdr:grpSp>
      <xdr:nvGrpSpPr>
        <xdr:cNvPr id="49169" name="Group 61">
          <a:extLst>
            <a:ext uri="{FF2B5EF4-FFF2-40B4-BE49-F238E27FC236}">
              <a16:creationId xmlns:a16="http://schemas.microsoft.com/office/drawing/2014/main" id="{00000000-0008-0000-0100-000011C00000}"/>
            </a:ext>
          </a:extLst>
        </xdr:cNvPr>
        <xdr:cNvGrpSpPr>
          <a:grpSpLocks/>
        </xdr:cNvGrpSpPr>
      </xdr:nvGrpSpPr>
      <xdr:grpSpPr bwMode="auto">
        <a:xfrm>
          <a:off x="6248400" y="2476500"/>
          <a:ext cx="1181100" cy="561975"/>
          <a:chOff x="197" y="256"/>
          <a:chExt cx="130" cy="59"/>
        </a:xfrm>
      </xdr:grpSpPr>
      <xdr:sp macro="" textlink="">
        <xdr:nvSpPr>
          <xdr:cNvPr id="49219" name="Freeform 60">
            <a:extLst>
              <a:ext uri="{FF2B5EF4-FFF2-40B4-BE49-F238E27FC236}">
                <a16:creationId xmlns:a16="http://schemas.microsoft.com/office/drawing/2014/main" id="{00000000-0008-0000-0100-000043C00000}"/>
              </a:ext>
            </a:extLst>
          </xdr:cNvPr>
          <xdr:cNvSpPr>
            <a:spLocks/>
          </xdr:cNvSpPr>
        </xdr:nvSpPr>
        <xdr:spPr bwMode="auto">
          <a:xfrm>
            <a:off x="197" y="256"/>
            <a:ext cx="130" cy="59"/>
          </a:xfrm>
          <a:custGeom>
            <a:avLst/>
            <a:gdLst>
              <a:gd name="T0" fmla="*/ 0 w 130"/>
              <a:gd name="T1" fmla="*/ 0 h 59"/>
              <a:gd name="T2" fmla="*/ 0 w 130"/>
              <a:gd name="T3" fmla="*/ 10 h 59"/>
              <a:gd name="T4" fmla="*/ 0 w 130"/>
              <a:gd name="T5" fmla="*/ 20 h 59"/>
              <a:gd name="T6" fmla="*/ 0 w 130"/>
              <a:gd name="T7" fmla="*/ 30 h 59"/>
              <a:gd name="T8" fmla="*/ 0 w 130"/>
              <a:gd name="T9" fmla="*/ 42 h 59"/>
              <a:gd name="T10" fmla="*/ 0 w 130"/>
              <a:gd name="T11" fmla="*/ 51 h 59"/>
              <a:gd name="T12" fmla="*/ 0 w 130"/>
              <a:gd name="T13" fmla="*/ 59 h 59"/>
              <a:gd name="T14" fmla="*/ 11 w 130"/>
              <a:gd name="T15" fmla="*/ 59 h 59"/>
              <a:gd name="T16" fmla="*/ 22 w 130"/>
              <a:gd name="T17" fmla="*/ 59 h 59"/>
              <a:gd name="T18" fmla="*/ 34 w 130"/>
              <a:gd name="T19" fmla="*/ 59 h 59"/>
              <a:gd name="T20" fmla="*/ 46 w 130"/>
              <a:gd name="T21" fmla="*/ 59 h 59"/>
              <a:gd name="T22" fmla="*/ 60 w 130"/>
              <a:gd name="T23" fmla="*/ 59 h 59"/>
              <a:gd name="T24" fmla="*/ 73 w 130"/>
              <a:gd name="T25" fmla="*/ 59 h 59"/>
              <a:gd name="T26" fmla="*/ 85 w 130"/>
              <a:gd name="T27" fmla="*/ 59 h 59"/>
              <a:gd name="T28" fmla="*/ 99 w 130"/>
              <a:gd name="T29" fmla="*/ 59 h 59"/>
              <a:gd name="T30" fmla="*/ 110 w 130"/>
              <a:gd name="T31" fmla="*/ 59 h 59"/>
              <a:gd name="T32" fmla="*/ 120 w 130"/>
              <a:gd name="T33" fmla="*/ 59 h 59"/>
              <a:gd name="T34" fmla="*/ 130 w 130"/>
              <a:gd name="T35" fmla="*/ 59 h 59"/>
              <a:gd name="T36" fmla="*/ 130 w 130"/>
              <a:gd name="T37" fmla="*/ 51 h 59"/>
              <a:gd name="T38" fmla="*/ 130 w 130"/>
              <a:gd name="T39" fmla="*/ 43 h 59"/>
              <a:gd name="T40" fmla="*/ 130 w 130"/>
              <a:gd name="T41" fmla="*/ 32 h 59"/>
              <a:gd name="T42" fmla="*/ 130 w 130"/>
              <a:gd name="T43" fmla="*/ 20 h 59"/>
              <a:gd name="T44" fmla="*/ 130 w 130"/>
              <a:gd name="T45" fmla="*/ 9 h 59"/>
              <a:gd name="T46" fmla="*/ 130 w 130"/>
              <a:gd name="T47" fmla="*/ 0 h 59"/>
              <a:gd name="T48" fmla="*/ 119 w 130"/>
              <a:gd name="T49" fmla="*/ 0 h 59"/>
              <a:gd name="T50" fmla="*/ 110 w 130"/>
              <a:gd name="T51" fmla="*/ 0 h 59"/>
              <a:gd name="T52" fmla="*/ 99 w 130"/>
              <a:gd name="T53" fmla="*/ 0 h 59"/>
              <a:gd name="T54" fmla="*/ 87 w 130"/>
              <a:gd name="T55" fmla="*/ 0 h 59"/>
              <a:gd name="T56" fmla="*/ 74 w 130"/>
              <a:gd name="T57" fmla="*/ 0 h 59"/>
              <a:gd name="T58" fmla="*/ 59 w 130"/>
              <a:gd name="T59" fmla="*/ 0 h 59"/>
              <a:gd name="T60" fmla="*/ 47 w 130"/>
              <a:gd name="T61" fmla="*/ 0 h 59"/>
              <a:gd name="T62" fmla="*/ 34 w 130"/>
              <a:gd name="T63" fmla="*/ 0 h 59"/>
              <a:gd name="T64" fmla="*/ 23 w 130"/>
              <a:gd name="T65" fmla="*/ 0 h 59"/>
              <a:gd name="T66" fmla="*/ 12 w 130"/>
              <a:gd name="T67" fmla="*/ 0 h 59"/>
              <a:gd name="T68" fmla="*/ 0 w 130"/>
              <a:gd name="T69" fmla="*/ 0 h 59"/>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w 130"/>
              <a:gd name="T106" fmla="*/ 0 h 59"/>
              <a:gd name="T107" fmla="*/ 130 w 130"/>
              <a:gd name="T108" fmla="*/ 59 h 59"/>
            </a:gdLst>
            <a:ahLst/>
            <a:cxnLst>
              <a:cxn ang="T70">
                <a:pos x="T0" y="T1"/>
              </a:cxn>
              <a:cxn ang="T71">
                <a:pos x="T2" y="T3"/>
              </a:cxn>
              <a:cxn ang="T72">
                <a:pos x="T4" y="T5"/>
              </a:cxn>
              <a:cxn ang="T73">
                <a:pos x="T6" y="T7"/>
              </a:cxn>
              <a:cxn ang="T74">
                <a:pos x="T8" y="T9"/>
              </a:cxn>
              <a:cxn ang="T75">
                <a:pos x="T10" y="T11"/>
              </a:cxn>
              <a:cxn ang="T76">
                <a:pos x="T12" y="T13"/>
              </a:cxn>
              <a:cxn ang="T77">
                <a:pos x="T14" y="T15"/>
              </a:cxn>
              <a:cxn ang="T78">
                <a:pos x="T16" y="T17"/>
              </a:cxn>
              <a:cxn ang="T79">
                <a:pos x="T18" y="T19"/>
              </a:cxn>
              <a:cxn ang="T80">
                <a:pos x="T20" y="T21"/>
              </a:cxn>
              <a:cxn ang="T81">
                <a:pos x="T22" y="T23"/>
              </a:cxn>
              <a:cxn ang="T82">
                <a:pos x="T24" y="T25"/>
              </a:cxn>
              <a:cxn ang="T83">
                <a:pos x="T26" y="T27"/>
              </a:cxn>
              <a:cxn ang="T84">
                <a:pos x="T28" y="T29"/>
              </a:cxn>
              <a:cxn ang="T85">
                <a:pos x="T30" y="T31"/>
              </a:cxn>
              <a:cxn ang="T86">
                <a:pos x="T32" y="T33"/>
              </a:cxn>
              <a:cxn ang="T87">
                <a:pos x="T34" y="T35"/>
              </a:cxn>
              <a:cxn ang="T88">
                <a:pos x="T36" y="T37"/>
              </a:cxn>
              <a:cxn ang="T89">
                <a:pos x="T38" y="T39"/>
              </a:cxn>
              <a:cxn ang="T90">
                <a:pos x="T40" y="T41"/>
              </a:cxn>
              <a:cxn ang="T91">
                <a:pos x="T42" y="T43"/>
              </a:cxn>
              <a:cxn ang="T92">
                <a:pos x="T44" y="T45"/>
              </a:cxn>
              <a:cxn ang="T93">
                <a:pos x="T46" y="T47"/>
              </a:cxn>
              <a:cxn ang="T94">
                <a:pos x="T48" y="T49"/>
              </a:cxn>
              <a:cxn ang="T95">
                <a:pos x="T50" y="T51"/>
              </a:cxn>
              <a:cxn ang="T96">
                <a:pos x="T52" y="T53"/>
              </a:cxn>
              <a:cxn ang="T97">
                <a:pos x="T54" y="T55"/>
              </a:cxn>
              <a:cxn ang="T98">
                <a:pos x="T56" y="T57"/>
              </a:cxn>
              <a:cxn ang="T99">
                <a:pos x="T58" y="T59"/>
              </a:cxn>
              <a:cxn ang="T100">
                <a:pos x="T60" y="T61"/>
              </a:cxn>
              <a:cxn ang="T101">
                <a:pos x="T62" y="T63"/>
              </a:cxn>
              <a:cxn ang="T102">
                <a:pos x="T64" y="T65"/>
              </a:cxn>
              <a:cxn ang="T103">
                <a:pos x="T66" y="T67"/>
              </a:cxn>
              <a:cxn ang="T104">
                <a:pos x="T68" y="T69"/>
              </a:cxn>
            </a:cxnLst>
            <a:rect l="T105" t="T106" r="T107" b="T108"/>
            <a:pathLst>
              <a:path w="130" h="59">
                <a:moveTo>
                  <a:pt x="0" y="0"/>
                </a:moveTo>
                <a:lnTo>
                  <a:pt x="0" y="10"/>
                </a:lnTo>
                <a:lnTo>
                  <a:pt x="0" y="20"/>
                </a:lnTo>
                <a:lnTo>
                  <a:pt x="0" y="30"/>
                </a:lnTo>
                <a:lnTo>
                  <a:pt x="0" y="42"/>
                </a:lnTo>
                <a:lnTo>
                  <a:pt x="0" y="51"/>
                </a:lnTo>
                <a:lnTo>
                  <a:pt x="0" y="59"/>
                </a:lnTo>
                <a:lnTo>
                  <a:pt x="11" y="59"/>
                </a:lnTo>
                <a:lnTo>
                  <a:pt x="22" y="59"/>
                </a:lnTo>
                <a:lnTo>
                  <a:pt x="34" y="59"/>
                </a:lnTo>
                <a:lnTo>
                  <a:pt x="46" y="59"/>
                </a:lnTo>
                <a:lnTo>
                  <a:pt x="60" y="59"/>
                </a:lnTo>
                <a:lnTo>
                  <a:pt x="73" y="59"/>
                </a:lnTo>
                <a:lnTo>
                  <a:pt x="85" y="59"/>
                </a:lnTo>
                <a:lnTo>
                  <a:pt x="99" y="59"/>
                </a:lnTo>
                <a:lnTo>
                  <a:pt x="110" y="59"/>
                </a:lnTo>
                <a:lnTo>
                  <a:pt x="120" y="59"/>
                </a:lnTo>
                <a:lnTo>
                  <a:pt x="130" y="59"/>
                </a:lnTo>
                <a:lnTo>
                  <a:pt x="130" y="51"/>
                </a:lnTo>
                <a:lnTo>
                  <a:pt x="130" y="43"/>
                </a:lnTo>
                <a:lnTo>
                  <a:pt x="130" y="32"/>
                </a:lnTo>
                <a:lnTo>
                  <a:pt x="130" y="20"/>
                </a:lnTo>
                <a:lnTo>
                  <a:pt x="130" y="9"/>
                </a:lnTo>
                <a:lnTo>
                  <a:pt x="130" y="0"/>
                </a:lnTo>
                <a:lnTo>
                  <a:pt x="119" y="0"/>
                </a:lnTo>
                <a:lnTo>
                  <a:pt x="110" y="0"/>
                </a:lnTo>
                <a:lnTo>
                  <a:pt x="99" y="0"/>
                </a:lnTo>
                <a:lnTo>
                  <a:pt x="87" y="0"/>
                </a:lnTo>
                <a:lnTo>
                  <a:pt x="74" y="0"/>
                </a:lnTo>
                <a:lnTo>
                  <a:pt x="59" y="0"/>
                </a:lnTo>
                <a:lnTo>
                  <a:pt x="47" y="0"/>
                </a:lnTo>
                <a:lnTo>
                  <a:pt x="34" y="0"/>
                </a:lnTo>
                <a:lnTo>
                  <a:pt x="23" y="0"/>
                </a:lnTo>
                <a:lnTo>
                  <a:pt x="12" y="0"/>
                </a:lnTo>
                <a:lnTo>
                  <a:pt x="0" y="0"/>
                </a:lnTo>
                <a:close/>
              </a:path>
            </a:pathLst>
          </a:custGeom>
          <a:solidFill>
            <a:srgbClr val="FFFFFF"/>
          </a:solidFill>
          <a:ln w="9525">
            <a:solidFill>
              <a:srgbClr val="000000"/>
            </a:solidFill>
            <a:round/>
            <a:headEnd/>
            <a:tailEnd/>
          </a:ln>
        </xdr:spPr>
      </xdr:sp>
      <xdr:sp macro="" textlink="">
        <xdr:nvSpPr>
          <xdr:cNvPr id="49220" name="Text Box 55">
            <a:extLst>
              <a:ext uri="{FF2B5EF4-FFF2-40B4-BE49-F238E27FC236}">
                <a16:creationId xmlns:a16="http://schemas.microsoft.com/office/drawing/2014/main" id="{00000000-0008-0000-0100-000044C00000}"/>
              </a:ext>
            </a:extLst>
          </xdr:cNvPr>
          <xdr:cNvSpPr txBox="1">
            <a:spLocks noChangeArrowheads="1"/>
          </xdr:cNvSpPr>
        </xdr:nvSpPr>
        <xdr:spPr bwMode="auto">
          <a:xfrm>
            <a:off x="202" y="260"/>
            <a:ext cx="121" cy="52"/>
          </a:xfrm>
          <a:prstGeom prst="rect">
            <a:avLst/>
          </a:prstGeom>
          <a:noFill/>
          <a:ln w="9525">
            <a:noFill/>
            <a:miter lim="800000"/>
            <a:headEnd/>
            <a:tailEnd/>
          </a:ln>
        </xdr:spPr>
      </xdr:sp>
    </xdr:grpSp>
    <xdr:clientData/>
  </xdr:twoCellAnchor>
  <xdr:twoCellAnchor editAs="absolute">
    <xdr:from>
      <xdr:col>0</xdr:col>
      <xdr:colOff>0</xdr:colOff>
      <xdr:row>0</xdr:row>
      <xdr:rowOff>0</xdr:rowOff>
    </xdr:from>
    <xdr:to>
      <xdr:col>7</xdr:col>
      <xdr:colOff>84007</xdr:colOff>
      <xdr:row>0</xdr:row>
      <xdr:rowOff>371475</xdr:rowOff>
    </xdr:to>
    <xdr:sp macro="" textlink="">
      <xdr:nvSpPr>
        <xdr:cNvPr id="5209" name="Text Box 89">
          <a:extLst>
            <a:ext uri="{FF2B5EF4-FFF2-40B4-BE49-F238E27FC236}">
              <a16:creationId xmlns:a16="http://schemas.microsoft.com/office/drawing/2014/main" id="{00000000-0008-0000-0100-000059140000}"/>
            </a:ext>
          </a:extLst>
        </xdr:cNvPr>
        <xdr:cNvSpPr txBox="1">
          <a:spLocks noChangeArrowheads="1"/>
        </xdr:cNvSpPr>
      </xdr:nvSpPr>
      <xdr:spPr bwMode="auto">
        <a:xfrm>
          <a:off x="0" y="0"/>
          <a:ext cx="7667625" cy="371475"/>
        </a:xfrm>
        <a:prstGeom prst="rect">
          <a:avLst/>
        </a:prstGeom>
        <a:solidFill>
          <a:srgbClr val="FFFFCC"/>
        </a:solidFill>
        <a:ln w="9525">
          <a:solidFill>
            <a:srgbClr val="000000"/>
          </a:solidFill>
          <a:miter lim="800000"/>
          <a:headEnd/>
          <a:tailEnd/>
        </a:ln>
      </xdr:spPr>
      <xdr:txBody>
        <a:bodyPr wrap="none" lIns="18288" tIns="0" rIns="0" bIns="22860" anchor="b" upright="1">
          <a:spAutoFit/>
        </a:bodyPr>
        <a:lstStyle/>
        <a:p>
          <a:pPr algn="l" rtl="0">
            <a:defRPr sz="1000"/>
          </a:pPr>
          <a:r>
            <a:rPr lang="en-US" altLang="zh-CN" sz="1000" b="0" i="0" u="none" strike="noStrike" baseline="0">
              <a:solidFill>
                <a:srgbClr val="000000"/>
              </a:solidFill>
              <a:latin typeface="Arial"/>
              <a:cs typeface="Arial"/>
            </a:rPr>
            <a:t>Place an object (grouped if multiple objects) into the Item column and the corresponding description in the Description column.</a:t>
          </a:r>
        </a:p>
        <a:p>
          <a:pPr algn="l" rtl="0">
            <a:defRPr sz="1000"/>
          </a:pPr>
          <a:r>
            <a:rPr lang="en-US" altLang="zh-CN" sz="1000" b="0" i="0" u="none" strike="noStrike" baseline="0">
              <a:solidFill>
                <a:srgbClr val="000000"/>
              </a:solidFill>
              <a:latin typeface="Arial"/>
              <a:cs typeface="Arial"/>
            </a:rPr>
            <a:t>These items can then be selected and inserted when right-clicking on the Block worksheet.</a:t>
          </a:r>
        </a:p>
      </xdr:txBody>
    </xdr:sp>
    <xdr:clientData fPrintsWithSheet="0"/>
  </xdr:twoCellAnchor>
  <xdr:twoCellAnchor>
    <xdr:from>
      <xdr:col>7</xdr:col>
      <xdr:colOff>390525</xdr:colOff>
      <xdr:row>2</xdr:row>
      <xdr:rowOff>123825</xdr:rowOff>
    </xdr:from>
    <xdr:to>
      <xdr:col>9</xdr:col>
      <xdr:colOff>361950</xdr:colOff>
      <xdr:row>2</xdr:row>
      <xdr:rowOff>676275</xdr:rowOff>
    </xdr:to>
    <xdr:grpSp>
      <xdr:nvGrpSpPr>
        <xdr:cNvPr id="49171" name="grpComponent">
          <a:extLst>
            <a:ext uri="{FF2B5EF4-FFF2-40B4-BE49-F238E27FC236}">
              <a16:creationId xmlns:a16="http://schemas.microsoft.com/office/drawing/2014/main" id="{00000000-0008-0000-0100-000013C00000}"/>
            </a:ext>
          </a:extLst>
        </xdr:cNvPr>
        <xdr:cNvGrpSpPr>
          <a:grpSpLocks/>
        </xdr:cNvGrpSpPr>
      </xdr:nvGrpSpPr>
      <xdr:grpSpPr bwMode="auto">
        <a:xfrm>
          <a:off x="7477125" y="2038350"/>
          <a:ext cx="1190625" cy="552450"/>
          <a:chOff x="277" y="192"/>
          <a:chExt cx="130" cy="59"/>
        </a:xfrm>
      </xdr:grpSpPr>
      <xdr:grpSp>
        <xdr:nvGrpSpPr>
          <xdr:cNvPr id="49215" name="blkComponent">
            <a:extLst>
              <a:ext uri="{FF2B5EF4-FFF2-40B4-BE49-F238E27FC236}">
                <a16:creationId xmlns:a16="http://schemas.microsoft.com/office/drawing/2014/main" id="{00000000-0008-0000-0100-00003FC00000}"/>
              </a:ext>
            </a:extLst>
          </xdr:cNvPr>
          <xdr:cNvGrpSpPr>
            <a:grpSpLocks/>
          </xdr:cNvGrpSpPr>
        </xdr:nvGrpSpPr>
        <xdr:grpSpPr bwMode="auto">
          <a:xfrm>
            <a:off x="277" y="192"/>
            <a:ext cx="130" cy="59"/>
            <a:chOff x="277" y="192"/>
            <a:chExt cx="130" cy="59"/>
          </a:xfrm>
        </xdr:grpSpPr>
        <xdr:sp macro="" textlink="">
          <xdr:nvSpPr>
            <xdr:cNvPr id="49217" name="Freeform 101">
              <a:extLst>
                <a:ext uri="{FF2B5EF4-FFF2-40B4-BE49-F238E27FC236}">
                  <a16:creationId xmlns:a16="http://schemas.microsoft.com/office/drawing/2014/main" id="{00000000-0008-0000-0100-000041C00000}"/>
                </a:ext>
              </a:extLst>
            </xdr:cNvPr>
            <xdr:cNvSpPr>
              <a:spLocks/>
            </xdr:cNvSpPr>
          </xdr:nvSpPr>
          <xdr:spPr bwMode="auto">
            <a:xfrm>
              <a:off x="277" y="192"/>
              <a:ext cx="130" cy="59"/>
            </a:xfrm>
            <a:custGeom>
              <a:avLst/>
              <a:gdLst>
                <a:gd name="T0" fmla="*/ 0 w 130"/>
                <a:gd name="T1" fmla="*/ 0 h 59"/>
                <a:gd name="T2" fmla="*/ 0 w 130"/>
                <a:gd name="T3" fmla="*/ 10 h 59"/>
                <a:gd name="T4" fmla="*/ 0 w 130"/>
                <a:gd name="T5" fmla="*/ 20 h 59"/>
                <a:gd name="T6" fmla="*/ 0 w 130"/>
                <a:gd name="T7" fmla="*/ 30 h 59"/>
                <a:gd name="T8" fmla="*/ 0 w 130"/>
                <a:gd name="T9" fmla="*/ 42 h 59"/>
                <a:gd name="T10" fmla="*/ 0 w 130"/>
                <a:gd name="T11" fmla="*/ 51 h 59"/>
                <a:gd name="T12" fmla="*/ 0 w 130"/>
                <a:gd name="T13" fmla="*/ 59 h 59"/>
                <a:gd name="T14" fmla="*/ 11 w 130"/>
                <a:gd name="T15" fmla="*/ 59 h 59"/>
                <a:gd name="T16" fmla="*/ 22 w 130"/>
                <a:gd name="T17" fmla="*/ 59 h 59"/>
                <a:gd name="T18" fmla="*/ 34 w 130"/>
                <a:gd name="T19" fmla="*/ 59 h 59"/>
                <a:gd name="T20" fmla="*/ 46 w 130"/>
                <a:gd name="T21" fmla="*/ 59 h 59"/>
                <a:gd name="T22" fmla="*/ 60 w 130"/>
                <a:gd name="T23" fmla="*/ 59 h 59"/>
                <a:gd name="T24" fmla="*/ 73 w 130"/>
                <a:gd name="T25" fmla="*/ 59 h 59"/>
                <a:gd name="T26" fmla="*/ 85 w 130"/>
                <a:gd name="T27" fmla="*/ 59 h 59"/>
                <a:gd name="T28" fmla="*/ 99 w 130"/>
                <a:gd name="T29" fmla="*/ 59 h 59"/>
                <a:gd name="T30" fmla="*/ 110 w 130"/>
                <a:gd name="T31" fmla="*/ 59 h 59"/>
                <a:gd name="T32" fmla="*/ 120 w 130"/>
                <a:gd name="T33" fmla="*/ 59 h 59"/>
                <a:gd name="T34" fmla="*/ 130 w 130"/>
                <a:gd name="T35" fmla="*/ 59 h 59"/>
                <a:gd name="T36" fmla="*/ 130 w 130"/>
                <a:gd name="T37" fmla="*/ 51 h 59"/>
                <a:gd name="T38" fmla="*/ 130 w 130"/>
                <a:gd name="T39" fmla="*/ 43 h 59"/>
                <a:gd name="T40" fmla="*/ 130 w 130"/>
                <a:gd name="T41" fmla="*/ 32 h 59"/>
                <a:gd name="T42" fmla="*/ 130 w 130"/>
                <a:gd name="T43" fmla="*/ 20 h 59"/>
                <a:gd name="T44" fmla="*/ 130 w 130"/>
                <a:gd name="T45" fmla="*/ 9 h 59"/>
                <a:gd name="T46" fmla="*/ 130 w 130"/>
                <a:gd name="T47" fmla="*/ 0 h 59"/>
                <a:gd name="T48" fmla="*/ 119 w 130"/>
                <a:gd name="T49" fmla="*/ 0 h 59"/>
                <a:gd name="T50" fmla="*/ 110 w 130"/>
                <a:gd name="T51" fmla="*/ 0 h 59"/>
                <a:gd name="T52" fmla="*/ 99 w 130"/>
                <a:gd name="T53" fmla="*/ 0 h 59"/>
                <a:gd name="T54" fmla="*/ 87 w 130"/>
                <a:gd name="T55" fmla="*/ 0 h 59"/>
                <a:gd name="T56" fmla="*/ 74 w 130"/>
                <a:gd name="T57" fmla="*/ 0 h 59"/>
                <a:gd name="T58" fmla="*/ 59 w 130"/>
                <a:gd name="T59" fmla="*/ 0 h 59"/>
                <a:gd name="T60" fmla="*/ 47 w 130"/>
                <a:gd name="T61" fmla="*/ 0 h 59"/>
                <a:gd name="T62" fmla="*/ 34 w 130"/>
                <a:gd name="T63" fmla="*/ 0 h 59"/>
                <a:gd name="T64" fmla="*/ 23 w 130"/>
                <a:gd name="T65" fmla="*/ 0 h 59"/>
                <a:gd name="T66" fmla="*/ 12 w 130"/>
                <a:gd name="T67" fmla="*/ 0 h 59"/>
                <a:gd name="T68" fmla="*/ 0 w 130"/>
                <a:gd name="T69" fmla="*/ 0 h 59"/>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w 130"/>
                <a:gd name="T106" fmla="*/ 0 h 59"/>
                <a:gd name="T107" fmla="*/ 130 w 130"/>
                <a:gd name="T108" fmla="*/ 59 h 59"/>
              </a:gdLst>
              <a:ahLst/>
              <a:cxnLst>
                <a:cxn ang="T70">
                  <a:pos x="T0" y="T1"/>
                </a:cxn>
                <a:cxn ang="T71">
                  <a:pos x="T2" y="T3"/>
                </a:cxn>
                <a:cxn ang="T72">
                  <a:pos x="T4" y="T5"/>
                </a:cxn>
                <a:cxn ang="T73">
                  <a:pos x="T6" y="T7"/>
                </a:cxn>
                <a:cxn ang="T74">
                  <a:pos x="T8" y="T9"/>
                </a:cxn>
                <a:cxn ang="T75">
                  <a:pos x="T10" y="T11"/>
                </a:cxn>
                <a:cxn ang="T76">
                  <a:pos x="T12" y="T13"/>
                </a:cxn>
                <a:cxn ang="T77">
                  <a:pos x="T14" y="T15"/>
                </a:cxn>
                <a:cxn ang="T78">
                  <a:pos x="T16" y="T17"/>
                </a:cxn>
                <a:cxn ang="T79">
                  <a:pos x="T18" y="T19"/>
                </a:cxn>
                <a:cxn ang="T80">
                  <a:pos x="T20" y="T21"/>
                </a:cxn>
                <a:cxn ang="T81">
                  <a:pos x="T22" y="T23"/>
                </a:cxn>
                <a:cxn ang="T82">
                  <a:pos x="T24" y="T25"/>
                </a:cxn>
                <a:cxn ang="T83">
                  <a:pos x="T26" y="T27"/>
                </a:cxn>
                <a:cxn ang="T84">
                  <a:pos x="T28" y="T29"/>
                </a:cxn>
                <a:cxn ang="T85">
                  <a:pos x="T30" y="T31"/>
                </a:cxn>
                <a:cxn ang="T86">
                  <a:pos x="T32" y="T33"/>
                </a:cxn>
                <a:cxn ang="T87">
                  <a:pos x="T34" y="T35"/>
                </a:cxn>
                <a:cxn ang="T88">
                  <a:pos x="T36" y="T37"/>
                </a:cxn>
                <a:cxn ang="T89">
                  <a:pos x="T38" y="T39"/>
                </a:cxn>
                <a:cxn ang="T90">
                  <a:pos x="T40" y="T41"/>
                </a:cxn>
                <a:cxn ang="T91">
                  <a:pos x="T42" y="T43"/>
                </a:cxn>
                <a:cxn ang="T92">
                  <a:pos x="T44" y="T45"/>
                </a:cxn>
                <a:cxn ang="T93">
                  <a:pos x="T46" y="T47"/>
                </a:cxn>
                <a:cxn ang="T94">
                  <a:pos x="T48" y="T49"/>
                </a:cxn>
                <a:cxn ang="T95">
                  <a:pos x="T50" y="T51"/>
                </a:cxn>
                <a:cxn ang="T96">
                  <a:pos x="T52" y="T53"/>
                </a:cxn>
                <a:cxn ang="T97">
                  <a:pos x="T54" y="T55"/>
                </a:cxn>
                <a:cxn ang="T98">
                  <a:pos x="T56" y="T57"/>
                </a:cxn>
                <a:cxn ang="T99">
                  <a:pos x="T58" y="T59"/>
                </a:cxn>
                <a:cxn ang="T100">
                  <a:pos x="T60" y="T61"/>
                </a:cxn>
                <a:cxn ang="T101">
                  <a:pos x="T62" y="T63"/>
                </a:cxn>
                <a:cxn ang="T102">
                  <a:pos x="T64" y="T65"/>
                </a:cxn>
                <a:cxn ang="T103">
                  <a:pos x="T66" y="T67"/>
                </a:cxn>
                <a:cxn ang="T104">
                  <a:pos x="T68" y="T69"/>
                </a:cxn>
              </a:cxnLst>
              <a:rect l="T105" t="T106" r="T107" b="T108"/>
              <a:pathLst>
                <a:path w="130" h="59">
                  <a:moveTo>
                    <a:pt x="0" y="0"/>
                  </a:moveTo>
                  <a:lnTo>
                    <a:pt x="0" y="10"/>
                  </a:lnTo>
                  <a:lnTo>
                    <a:pt x="0" y="20"/>
                  </a:lnTo>
                  <a:lnTo>
                    <a:pt x="0" y="30"/>
                  </a:lnTo>
                  <a:lnTo>
                    <a:pt x="0" y="42"/>
                  </a:lnTo>
                  <a:lnTo>
                    <a:pt x="0" y="51"/>
                  </a:lnTo>
                  <a:lnTo>
                    <a:pt x="0" y="59"/>
                  </a:lnTo>
                  <a:lnTo>
                    <a:pt x="11" y="59"/>
                  </a:lnTo>
                  <a:lnTo>
                    <a:pt x="22" y="59"/>
                  </a:lnTo>
                  <a:lnTo>
                    <a:pt x="34" y="59"/>
                  </a:lnTo>
                  <a:lnTo>
                    <a:pt x="46" y="59"/>
                  </a:lnTo>
                  <a:lnTo>
                    <a:pt x="60" y="59"/>
                  </a:lnTo>
                  <a:lnTo>
                    <a:pt x="73" y="59"/>
                  </a:lnTo>
                  <a:lnTo>
                    <a:pt x="85" y="59"/>
                  </a:lnTo>
                  <a:lnTo>
                    <a:pt x="99" y="59"/>
                  </a:lnTo>
                  <a:lnTo>
                    <a:pt x="110" y="59"/>
                  </a:lnTo>
                  <a:lnTo>
                    <a:pt x="120" y="59"/>
                  </a:lnTo>
                  <a:lnTo>
                    <a:pt x="130" y="59"/>
                  </a:lnTo>
                  <a:lnTo>
                    <a:pt x="130" y="51"/>
                  </a:lnTo>
                  <a:lnTo>
                    <a:pt x="130" y="43"/>
                  </a:lnTo>
                  <a:lnTo>
                    <a:pt x="130" y="32"/>
                  </a:lnTo>
                  <a:lnTo>
                    <a:pt x="130" y="20"/>
                  </a:lnTo>
                  <a:lnTo>
                    <a:pt x="130" y="9"/>
                  </a:lnTo>
                  <a:lnTo>
                    <a:pt x="130" y="0"/>
                  </a:lnTo>
                  <a:lnTo>
                    <a:pt x="119" y="0"/>
                  </a:lnTo>
                  <a:lnTo>
                    <a:pt x="110" y="0"/>
                  </a:lnTo>
                  <a:lnTo>
                    <a:pt x="99" y="0"/>
                  </a:lnTo>
                  <a:lnTo>
                    <a:pt x="87" y="0"/>
                  </a:lnTo>
                  <a:lnTo>
                    <a:pt x="74" y="0"/>
                  </a:lnTo>
                  <a:lnTo>
                    <a:pt x="59" y="0"/>
                  </a:lnTo>
                  <a:lnTo>
                    <a:pt x="47" y="0"/>
                  </a:lnTo>
                  <a:lnTo>
                    <a:pt x="34" y="0"/>
                  </a:lnTo>
                  <a:lnTo>
                    <a:pt x="23" y="0"/>
                  </a:lnTo>
                  <a:lnTo>
                    <a:pt x="12" y="0"/>
                  </a:lnTo>
                  <a:lnTo>
                    <a:pt x="0" y="0"/>
                  </a:lnTo>
                  <a:close/>
                </a:path>
              </a:pathLst>
            </a:custGeom>
            <a:gradFill rotWithShape="1">
              <a:gsLst>
                <a:gs pos="0">
                  <a:srgbClr val="7D7DFF"/>
                </a:gs>
                <a:gs pos="50000">
                  <a:srgbClr val="FFFFFF"/>
                </a:gs>
                <a:gs pos="100000">
                  <a:srgbClr val="7D7DFF"/>
                </a:gs>
              </a:gsLst>
              <a:lin ang="5400000" scaled="1"/>
            </a:gradFill>
            <a:ln w="9525">
              <a:solidFill>
                <a:srgbClr val="000000"/>
              </a:solidFill>
              <a:round/>
              <a:headEnd/>
              <a:tailEnd/>
            </a:ln>
          </xdr:spPr>
        </xdr:sp>
        <xdr:sp macro="" textlink="">
          <xdr:nvSpPr>
            <xdr:cNvPr id="49218" name="Text Box 102">
              <a:extLst>
                <a:ext uri="{FF2B5EF4-FFF2-40B4-BE49-F238E27FC236}">
                  <a16:creationId xmlns:a16="http://schemas.microsoft.com/office/drawing/2014/main" id="{00000000-0008-0000-0100-000042C00000}"/>
                </a:ext>
              </a:extLst>
            </xdr:cNvPr>
            <xdr:cNvSpPr txBox="1">
              <a:spLocks noChangeArrowheads="1"/>
            </xdr:cNvSpPr>
          </xdr:nvSpPr>
          <xdr:spPr bwMode="auto">
            <a:xfrm>
              <a:off x="282" y="196"/>
              <a:ext cx="121" cy="52"/>
            </a:xfrm>
            <a:prstGeom prst="rect">
              <a:avLst/>
            </a:prstGeom>
            <a:noFill/>
            <a:ln w="9525">
              <a:noFill/>
              <a:miter lim="800000"/>
              <a:headEnd/>
              <a:tailEnd/>
            </a:ln>
          </xdr:spPr>
        </xdr:sp>
      </xdr:grpSp>
      <xdr:sp macro="" textlink="">
        <xdr:nvSpPr>
          <xdr:cNvPr id="5223" name="lblLetter">
            <a:extLst>
              <a:ext uri="{FF2B5EF4-FFF2-40B4-BE49-F238E27FC236}">
                <a16:creationId xmlns:a16="http://schemas.microsoft.com/office/drawing/2014/main" id="{00000000-0008-0000-0100-000067140000}"/>
              </a:ext>
            </a:extLst>
          </xdr:cNvPr>
          <xdr:cNvSpPr txBox="1">
            <a:spLocks noChangeArrowheads="1"/>
          </xdr:cNvSpPr>
        </xdr:nvSpPr>
        <xdr:spPr bwMode="auto">
          <a:xfrm>
            <a:off x="277" y="192"/>
            <a:ext cx="14" cy="24"/>
          </a:xfrm>
          <a:prstGeom prst="rect">
            <a:avLst/>
          </a:prstGeom>
          <a:solidFill>
            <a:srgbClr val="FFFFFF"/>
          </a:solidFill>
          <a:ln w="9525">
            <a:solidFill>
              <a:srgbClr val="000000"/>
            </a:solidFill>
            <a:miter lim="800000"/>
            <a:headEnd/>
            <a:tailEnd/>
          </a:ln>
        </xdr:spPr>
        <xdr:txBody>
          <a:bodyPr wrap="none" lIns="18288" tIns="22860" rIns="18288" bIns="22860" anchor="ctr" upright="1">
            <a:spAutoFit/>
          </a:bodyPr>
          <a:lstStyle/>
          <a:p>
            <a:pPr algn="ctr" rtl="0">
              <a:defRPr sz="1000"/>
            </a:pPr>
            <a:r>
              <a:rPr lang="en-US" altLang="zh-CN" sz="1000" b="0" i="0" u="none" strike="noStrike" baseline="0">
                <a:solidFill>
                  <a:srgbClr val="FF0000"/>
                </a:solidFill>
                <a:latin typeface="Arial"/>
                <a:cs typeface="Arial"/>
              </a:rPr>
              <a:t>A</a:t>
            </a:r>
          </a:p>
        </xdr:txBody>
      </xdr:sp>
    </xdr:grpSp>
    <xdr:clientData/>
  </xdr:twoCellAnchor>
  <xdr:twoCellAnchor editAs="oneCell">
    <xdr:from>
      <xdr:col>1</xdr:col>
      <xdr:colOff>742950</xdr:colOff>
      <xdr:row>10</xdr:row>
      <xdr:rowOff>533400</xdr:rowOff>
    </xdr:from>
    <xdr:to>
      <xdr:col>1</xdr:col>
      <xdr:colOff>923925</xdr:colOff>
      <xdr:row>10</xdr:row>
      <xdr:rowOff>714375</xdr:rowOff>
    </xdr:to>
    <xdr:sp macro="" textlink="">
      <xdr:nvSpPr>
        <xdr:cNvPr id="49172" name="lblLabel">
          <a:extLst>
            <a:ext uri="{FF2B5EF4-FFF2-40B4-BE49-F238E27FC236}">
              <a16:creationId xmlns:a16="http://schemas.microsoft.com/office/drawing/2014/main" id="{00000000-0008-0000-0100-000014C00000}"/>
            </a:ext>
          </a:extLst>
        </xdr:cNvPr>
        <xdr:cNvSpPr txBox="1">
          <a:spLocks noChangeArrowheads="1"/>
        </xdr:cNvSpPr>
      </xdr:nvSpPr>
      <xdr:spPr bwMode="auto">
        <a:xfrm>
          <a:off x="1666875" y="12049125"/>
          <a:ext cx="180975" cy="180975"/>
        </a:xfrm>
        <a:prstGeom prst="rect">
          <a:avLst/>
        </a:prstGeom>
        <a:solidFill>
          <a:srgbClr val="FFFFFF"/>
        </a:solidFill>
        <a:ln w="9525">
          <a:solidFill>
            <a:srgbClr val="000000"/>
          </a:solidFill>
          <a:miter lim="800000"/>
          <a:headEnd/>
          <a:tailEnd/>
        </a:ln>
      </xdr:spPr>
    </xdr:sp>
    <xdr:clientData/>
  </xdr:twoCellAnchor>
  <xdr:twoCellAnchor editAs="oneCell">
    <xdr:from>
      <xdr:col>1</xdr:col>
      <xdr:colOff>747712</xdr:colOff>
      <xdr:row>11</xdr:row>
      <xdr:rowOff>519118</xdr:rowOff>
    </xdr:from>
    <xdr:to>
      <xdr:col>1</xdr:col>
      <xdr:colOff>928687</xdr:colOff>
      <xdr:row>11</xdr:row>
      <xdr:rowOff>700093</xdr:rowOff>
    </xdr:to>
    <xdr:sp macro="" textlink="'Block Template'!E12">
      <xdr:nvSpPr>
        <xdr:cNvPr id="5231" name="lblLabel">
          <a:extLst>
            <a:ext uri="{FF2B5EF4-FFF2-40B4-BE49-F238E27FC236}">
              <a16:creationId xmlns:a16="http://schemas.microsoft.com/office/drawing/2014/main" id="{00000000-0008-0000-0100-00006F140000}"/>
            </a:ext>
          </a:extLst>
        </xdr:cNvPr>
        <xdr:cNvSpPr txBox="1">
          <a:spLocks noChangeArrowheads="1" noTextEdit="1"/>
        </xdr:cNvSpPr>
      </xdr:nvSpPr>
      <xdr:spPr bwMode="auto">
        <a:xfrm>
          <a:off x="1676400" y="13139743"/>
          <a:ext cx="180975" cy="1809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fld id="{2C2A65FD-6008-4FF6-9CD6-76ABE0AAFF1D}" type="TxLink">
            <a:rPr lang="en-US" altLang="zh-CN" sz="800" b="0" i="0" u="none" strike="noStrike" baseline="0">
              <a:solidFill>
                <a:srgbClr val="000000"/>
              </a:solidFill>
              <a:latin typeface="Arial"/>
              <a:cs typeface="Arial"/>
            </a:rPr>
            <a:pPr algn="ctr" rtl="0">
              <a:defRPr sz="1000"/>
            </a:pPr>
            <a:t>1</a:t>
          </a:fld>
          <a:endParaRPr lang="en-US" altLang="zh-CN" sz="800" b="0" i="0" u="none" strike="noStrike" baseline="0">
            <a:solidFill>
              <a:srgbClr val="000000"/>
            </a:solidFill>
            <a:latin typeface="Arial"/>
            <a:cs typeface="Arial"/>
          </a:endParaRPr>
        </a:p>
      </xdr:txBody>
    </xdr:sp>
    <xdr:clientData/>
  </xdr:twoCellAnchor>
  <xdr:twoCellAnchor editAs="oneCell">
    <xdr:from>
      <xdr:col>1</xdr:col>
      <xdr:colOff>747712</xdr:colOff>
      <xdr:row>12</xdr:row>
      <xdr:rowOff>500068</xdr:rowOff>
    </xdr:from>
    <xdr:to>
      <xdr:col>1</xdr:col>
      <xdr:colOff>928687</xdr:colOff>
      <xdr:row>12</xdr:row>
      <xdr:rowOff>681043</xdr:rowOff>
    </xdr:to>
    <xdr:sp macro="" textlink="'Block Template'!$E$13">
      <xdr:nvSpPr>
        <xdr:cNvPr id="5232" name="lblLabel">
          <a:extLst>
            <a:ext uri="{FF2B5EF4-FFF2-40B4-BE49-F238E27FC236}">
              <a16:creationId xmlns:a16="http://schemas.microsoft.com/office/drawing/2014/main" id="{00000000-0008-0000-0100-000070140000}"/>
            </a:ext>
          </a:extLst>
        </xdr:cNvPr>
        <xdr:cNvSpPr txBox="1">
          <a:spLocks noChangeArrowheads="1" noTextEdit="1"/>
        </xdr:cNvSpPr>
      </xdr:nvSpPr>
      <xdr:spPr bwMode="auto">
        <a:xfrm>
          <a:off x="1676400" y="14311318"/>
          <a:ext cx="180975" cy="1809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fld id="{5CAFD149-C511-4133-AC06-09FFE3A69F6D}" type="TxLink">
            <a:rPr lang="en-US" altLang="zh-CN" sz="800" b="0" i="0" u="none" strike="noStrike" baseline="0">
              <a:solidFill>
                <a:srgbClr val="000000"/>
              </a:solidFill>
              <a:latin typeface="Arial"/>
              <a:cs typeface="Arial"/>
            </a:rPr>
            <a:pPr algn="ctr" rtl="0">
              <a:defRPr sz="1000"/>
            </a:pPr>
            <a:t>2</a:t>
          </a:fld>
          <a:endParaRPr lang="en-US" altLang="zh-CN" sz="800" b="0" i="0" u="none" strike="noStrike" baseline="0">
            <a:solidFill>
              <a:srgbClr val="000000"/>
            </a:solidFill>
            <a:latin typeface="Arial"/>
            <a:cs typeface="Arial"/>
          </a:endParaRPr>
        </a:p>
      </xdr:txBody>
    </xdr:sp>
    <xdr:clientData/>
  </xdr:twoCellAnchor>
  <xdr:twoCellAnchor editAs="oneCell">
    <xdr:from>
      <xdr:col>1</xdr:col>
      <xdr:colOff>738187</xdr:colOff>
      <xdr:row>13</xdr:row>
      <xdr:rowOff>528643</xdr:rowOff>
    </xdr:from>
    <xdr:to>
      <xdr:col>1</xdr:col>
      <xdr:colOff>919162</xdr:colOff>
      <xdr:row>13</xdr:row>
      <xdr:rowOff>709618</xdr:rowOff>
    </xdr:to>
    <xdr:sp macro="" textlink="'Block Template'!$E$14">
      <xdr:nvSpPr>
        <xdr:cNvPr id="5233" name="lblLabel">
          <a:extLst>
            <a:ext uri="{FF2B5EF4-FFF2-40B4-BE49-F238E27FC236}">
              <a16:creationId xmlns:a16="http://schemas.microsoft.com/office/drawing/2014/main" id="{00000000-0008-0000-0100-000071140000}"/>
            </a:ext>
          </a:extLst>
        </xdr:cNvPr>
        <xdr:cNvSpPr txBox="1">
          <a:spLocks noChangeArrowheads="1" noTextEdit="1"/>
        </xdr:cNvSpPr>
      </xdr:nvSpPr>
      <xdr:spPr bwMode="auto">
        <a:xfrm>
          <a:off x="1666875" y="15530518"/>
          <a:ext cx="180975" cy="1809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fld id="{E31367F7-677A-43B0-868C-543E1B70A2A4}" type="TxLink">
            <a:rPr lang="en-US" altLang="zh-CN" sz="800" b="0" i="0" u="none" strike="noStrike" baseline="0">
              <a:solidFill>
                <a:srgbClr val="000000"/>
              </a:solidFill>
              <a:latin typeface="Arial"/>
              <a:cs typeface="Arial"/>
            </a:rPr>
            <a:pPr algn="ctr" rtl="0">
              <a:defRPr sz="1000"/>
            </a:pPr>
            <a:t>3</a:t>
          </a:fld>
          <a:endParaRPr lang="en-US" altLang="zh-CN" sz="800" b="0" i="0" u="none" strike="noStrike" baseline="0">
            <a:solidFill>
              <a:srgbClr val="000000"/>
            </a:solidFill>
            <a:latin typeface="Arial"/>
            <a:cs typeface="Arial"/>
          </a:endParaRPr>
        </a:p>
      </xdr:txBody>
    </xdr:sp>
    <xdr:clientData/>
  </xdr:twoCellAnchor>
  <xdr:twoCellAnchor editAs="oneCell">
    <xdr:from>
      <xdr:col>1</xdr:col>
      <xdr:colOff>747712</xdr:colOff>
      <xdr:row>14</xdr:row>
      <xdr:rowOff>528643</xdr:rowOff>
    </xdr:from>
    <xdr:to>
      <xdr:col>1</xdr:col>
      <xdr:colOff>928687</xdr:colOff>
      <xdr:row>14</xdr:row>
      <xdr:rowOff>709618</xdr:rowOff>
    </xdr:to>
    <xdr:sp macro="" textlink="'Block Template'!$E$15">
      <xdr:nvSpPr>
        <xdr:cNvPr id="5234" name="lblLabel">
          <a:extLst>
            <a:ext uri="{FF2B5EF4-FFF2-40B4-BE49-F238E27FC236}">
              <a16:creationId xmlns:a16="http://schemas.microsoft.com/office/drawing/2014/main" id="{00000000-0008-0000-0100-000072140000}"/>
            </a:ext>
          </a:extLst>
        </xdr:cNvPr>
        <xdr:cNvSpPr txBox="1">
          <a:spLocks noChangeArrowheads="1" noTextEdit="1"/>
        </xdr:cNvSpPr>
      </xdr:nvSpPr>
      <xdr:spPr bwMode="auto">
        <a:xfrm>
          <a:off x="1676400" y="16721143"/>
          <a:ext cx="180975" cy="1809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fld id="{CD079271-9D74-40F9-8172-430EBAB21FD5}" type="TxLink">
            <a:rPr lang="en-US" altLang="zh-CN" sz="800" b="0" i="0" u="none" strike="noStrike" baseline="0">
              <a:solidFill>
                <a:srgbClr val="000000"/>
              </a:solidFill>
              <a:latin typeface="Arial"/>
              <a:cs typeface="Arial"/>
            </a:rPr>
            <a:pPr algn="ctr" rtl="0">
              <a:defRPr sz="1000"/>
            </a:pPr>
            <a:t>4</a:t>
          </a:fld>
          <a:endParaRPr lang="en-US" altLang="zh-CN" sz="800" b="0" i="0" u="none" strike="noStrike" baseline="0">
            <a:solidFill>
              <a:srgbClr val="000000"/>
            </a:solidFill>
            <a:latin typeface="Arial"/>
            <a:cs typeface="Arial"/>
          </a:endParaRPr>
        </a:p>
      </xdr:txBody>
    </xdr:sp>
    <xdr:clientData/>
  </xdr:twoCellAnchor>
  <xdr:twoCellAnchor editAs="oneCell">
    <xdr:from>
      <xdr:col>1</xdr:col>
      <xdr:colOff>747712</xdr:colOff>
      <xdr:row>15</xdr:row>
      <xdr:rowOff>528643</xdr:rowOff>
    </xdr:from>
    <xdr:to>
      <xdr:col>1</xdr:col>
      <xdr:colOff>928687</xdr:colOff>
      <xdr:row>15</xdr:row>
      <xdr:rowOff>709618</xdr:rowOff>
    </xdr:to>
    <xdr:sp macro="" textlink="'Block Template'!$E$16">
      <xdr:nvSpPr>
        <xdr:cNvPr id="5235" name="lblLabel">
          <a:extLst>
            <a:ext uri="{FF2B5EF4-FFF2-40B4-BE49-F238E27FC236}">
              <a16:creationId xmlns:a16="http://schemas.microsoft.com/office/drawing/2014/main" id="{00000000-0008-0000-0100-000073140000}"/>
            </a:ext>
          </a:extLst>
        </xdr:cNvPr>
        <xdr:cNvSpPr txBox="1">
          <a:spLocks noChangeArrowheads="1" noTextEdit="1"/>
        </xdr:cNvSpPr>
      </xdr:nvSpPr>
      <xdr:spPr bwMode="auto">
        <a:xfrm>
          <a:off x="1676400" y="17911768"/>
          <a:ext cx="180975" cy="1809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fld id="{2B329DB3-FA0E-4F64-A074-68E21C2F290D}" type="TxLink">
            <a:rPr lang="en-US" altLang="zh-CN" sz="800" b="0" i="0" u="none" strike="noStrike" baseline="0">
              <a:solidFill>
                <a:srgbClr val="000000"/>
              </a:solidFill>
              <a:latin typeface="Arial"/>
              <a:cs typeface="Arial"/>
            </a:rPr>
            <a:pPr algn="ctr" rtl="0">
              <a:defRPr sz="1000"/>
            </a:pPr>
            <a:t>5</a:t>
          </a:fld>
          <a:endParaRPr lang="en-US" altLang="zh-CN" sz="800" b="0" i="0" u="none" strike="noStrike" baseline="0">
            <a:solidFill>
              <a:srgbClr val="000000"/>
            </a:solidFill>
            <a:latin typeface="Arial"/>
            <a:cs typeface="Arial"/>
          </a:endParaRPr>
        </a:p>
      </xdr:txBody>
    </xdr:sp>
    <xdr:clientData/>
  </xdr:twoCellAnchor>
  <xdr:twoCellAnchor editAs="oneCell">
    <xdr:from>
      <xdr:col>1</xdr:col>
      <xdr:colOff>747712</xdr:colOff>
      <xdr:row>16</xdr:row>
      <xdr:rowOff>528643</xdr:rowOff>
    </xdr:from>
    <xdr:to>
      <xdr:col>1</xdr:col>
      <xdr:colOff>928687</xdr:colOff>
      <xdr:row>16</xdr:row>
      <xdr:rowOff>709618</xdr:rowOff>
    </xdr:to>
    <xdr:sp macro="" textlink="'Block Template'!$E$17">
      <xdr:nvSpPr>
        <xdr:cNvPr id="5236" name="lblLabel">
          <a:extLst>
            <a:ext uri="{FF2B5EF4-FFF2-40B4-BE49-F238E27FC236}">
              <a16:creationId xmlns:a16="http://schemas.microsoft.com/office/drawing/2014/main" id="{00000000-0008-0000-0100-000074140000}"/>
            </a:ext>
          </a:extLst>
        </xdr:cNvPr>
        <xdr:cNvSpPr txBox="1">
          <a:spLocks noChangeArrowheads="1" noTextEdit="1"/>
        </xdr:cNvSpPr>
      </xdr:nvSpPr>
      <xdr:spPr bwMode="auto">
        <a:xfrm>
          <a:off x="1676400" y="19102393"/>
          <a:ext cx="180975" cy="1809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fld id="{24AD072B-567D-4A98-832F-D32833C08000}" type="TxLink">
            <a:rPr lang="en-US" altLang="zh-CN" sz="800" b="0" i="0" u="none" strike="noStrike" baseline="0">
              <a:solidFill>
                <a:srgbClr val="000000"/>
              </a:solidFill>
              <a:latin typeface="Arial"/>
              <a:cs typeface="Arial"/>
            </a:rPr>
            <a:pPr algn="ctr" rtl="0">
              <a:defRPr sz="1000"/>
            </a:pPr>
            <a:t>6</a:t>
          </a:fld>
          <a:endParaRPr lang="en-US" altLang="zh-CN" sz="800" b="0" i="0" u="none" strike="noStrike" baseline="0">
            <a:solidFill>
              <a:srgbClr val="000000"/>
            </a:solidFill>
            <a:latin typeface="Arial"/>
            <a:cs typeface="Arial"/>
          </a:endParaRPr>
        </a:p>
      </xdr:txBody>
    </xdr:sp>
    <xdr:clientData/>
  </xdr:twoCellAnchor>
  <xdr:twoCellAnchor editAs="oneCell">
    <xdr:from>
      <xdr:col>1</xdr:col>
      <xdr:colOff>747712</xdr:colOff>
      <xdr:row>17</xdr:row>
      <xdr:rowOff>528643</xdr:rowOff>
    </xdr:from>
    <xdr:to>
      <xdr:col>1</xdr:col>
      <xdr:colOff>928687</xdr:colOff>
      <xdr:row>17</xdr:row>
      <xdr:rowOff>709618</xdr:rowOff>
    </xdr:to>
    <xdr:sp macro="" textlink="'Block Template'!$E$18">
      <xdr:nvSpPr>
        <xdr:cNvPr id="5237" name="lblLabel">
          <a:extLst>
            <a:ext uri="{FF2B5EF4-FFF2-40B4-BE49-F238E27FC236}">
              <a16:creationId xmlns:a16="http://schemas.microsoft.com/office/drawing/2014/main" id="{00000000-0008-0000-0100-000075140000}"/>
            </a:ext>
          </a:extLst>
        </xdr:cNvPr>
        <xdr:cNvSpPr txBox="1">
          <a:spLocks noChangeArrowheads="1" noTextEdit="1"/>
        </xdr:cNvSpPr>
      </xdr:nvSpPr>
      <xdr:spPr bwMode="auto">
        <a:xfrm>
          <a:off x="1676400" y="20293018"/>
          <a:ext cx="180975" cy="1809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fld id="{B6BB69A6-7783-4135-95D4-68A1FE7A25BA}" type="TxLink">
            <a:rPr lang="en-US" altLang="zh-CN" sz="800" b="0" i="0" u="none" strike="noStrike" baseline="0">
              <a:solidFill>
                <a:srgbClr val="000000"/>
              </a:solidFill>
              <a:latin typeface="Arial"/>
              <a:cs typeface="Arial"/>
            </a:rPr>
            <a:pPr algn="ctr" rtl="0">
              <a:defRPr sz="1000"/>
            </a:pPr>
            <a:t>7</a:t>
          </a:fld>
          <a:endParaRPr lang="en-US" altLang="zh-CN" sz="800" b="0" i="0" u="none" strike="noStrike" baseline="0">
            <a:solidFill>
              <a:srgbClr val="000000"/>
            </a:solidFill>
            <a:latin typeface="Arial"/>
            <a:cs typeface="Arial"/>
          </a:endParaRPr>
        </a:p>
      </xdr:txBody>
    </xdr:sp>
    <xdr:clientData/>
  </xdr:twoCellAnchor>
  <xdr:twoCellAnchor editAs="oneCell">
    <xdr:from>
      <xdr:col>1</xdr:col>
      <xdr:colOff>747712</xdr:colOff>
      <xdr:row>18</xdr:row>
      <xdr:rowOff>528643</xdr:rowOff>
    </xdr:from>
    <xdr:to>
      <xdr:col>1</xdr:col>
      <xdr:colOff>928687</xdr:colOff>
      <xdr:row>18</xdr:row>
      <xdr:rowOff>709618</xdr:rowOff>
    </xdr:to>
    <xdr:sp macro="" textlink="'Block Template'!$E$19">
      <xdr:nvSpPr>
        <xdr:cNvPr id="5238" name="lblLabel">
          <a:extLst>
            <a:ext uri="{FF2B5EF4-FFF2-40B4-BE49-F238E27FC236}">
              <a16:creationId xmlns:a16="http://schemas.microsoft.com/office/drawing/2014/main" id="{00000000-0008-0000-0100-000076140000}"/>
            </a:ext>
          </a:extLst>
        </xdr:cNvPr>
        <xdr:cNvSpPr txBox="1">
          <a:spLocks noChangeArrowheads="1" noTextEdit="1"/>
        </xdr:cNvSpPr>
      </xdr:nvSpPr>
      <xdr:spPr bwMode="auto">
        <a:xfrm>
          <a:off x="1676400" y="21483643"/>
          <a:ext cx="180975" cy="1809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fld id="{6B094A7A-3DD1-4F2F-A829-D41C16A166DE}" type="TxLink">
            <a:rPr lang="en-US" altLang="zh-CN" sz="800" b="0" i="0" u="none" strike="noStrike" baseline="0">
              <a:solidFill>
                <a:srgbClr val="000000"/>
              </a:solidFill>
              <a:latin typeface="Arial"/>
              <a:cs typeface="Arial"/>
            </a:rPr>
            <a:pPr algn="ctr" rtl="0">
              <a:defRPr sz="1000"/>
            </a:pPr>
            <a:t>8</a:t>
          </a:fld>
          <a:endParaRPr lang="en-US" altLang="zh-CN" sz="800" b="0" i="0" u="none" strike="noStrike" baseline="0">
            <a:solidFill>
              <a:srgbClr val="000000"/>
            </a:solidFill>
            <a:latin typeface="Arial"/>
            <a:cs typeface="Arial"/>
          </a:endParaRPr>
        </a:p>
      </xdr:txBody>
    </xdr:sp>
    <xdr:clientData/>
  </xdr:twoCellAnchor>
  <xdr:twoCellAnchor editAs="oneCell">
    <xdr:from>
      <xdr:col>1</xdr:col>
      <xdr:colOff>747712</xdr:colOff>
      <xdr:row>19</xdr:row>
      <xdr:rowOff>528643</xdr:rowOff>
    </xdr:from>
    <xdr:to>
      <xdr:col>1</xdr:col>
      <xdr:colOff>928687</xdr:colOff>
      <xdr:row>19</xdr:row>
      <xdr:rowOff>709618</xdr:rowOff>
    </xdr:to>
    <xdr:sp macro="" textlink="'Block Template'!$E$20">
      <xdr:nvSpPr>
        <xdr:cNvPr id="5239" name="lblLabel">
          <a:extLst>
            <a:ext uri="{FF2B5EF4-FFF2-40B4-BE49-F238E27FC236}">
              <a16:creationId xmlns:a16="http://schemas.microsoft.com/office/drawing/2014/main" id="{00000000-0008-0000-0100-000077140000}"/>
            </a:ext>
          </a:extLst>
        </xdr:cNvPr>
        <xdr:cNvSpPr txBox="1">
          <a:spLocks noChangeArrowheads="1" noTextEdit="1"/>
        </xdr:cNvSpPr>
      </xdr:nvSpPr>
      <xdr:spPr bwMode="auto">
        <a:xfrm>
          <a:off x="1676400" y="22674268"/>
          <a:ext cx="180975" cy="1809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fld id="{9022813E-8926-4CE8-80E5-848519F3D35E}" type="TxLink">
            <a:rPr lang="en-US" altLang="zh-CN" sz="800" b="0" i="0" u="none" strike="noStrike" baseline="0">
              <a:solidFill>
                <a:srgbClr val="000000"/>
              </a:solidFill>
              <a:latin typeface="Arial"/>
              <a:cs typeface="Arial"/>
            </a:rPr>
            <a:pPr algn="ctr" rtl="0">
              <a:defRPr sz="1000"/>
            </a:pPr>
            <a:t>9</a:t>
          </a:fld>
          <a:endParaRPr lang="en-US" altLang="zh-CN" sz="800" b="0" i="0" u="none" strike="noStrike" baseline="0">
            <a:solidFill>
              <a:srgbClr val="000000"/>
            </a:solidFill>
            <a:latin typeface="Arial"/>
            <a:cs typeface="Arial"/>
          </a:endParaRPr>
        </a:p>
      </xdr:txBody>
    </xdr:sp>
    <xdr:clientData/>
  </xdr:twoCellAnchor>
  <xdr:twoCellAnchor editAs="oneCell">
    <xdr:from>
      <xdr:col>1</xdr:col>
      <xdr:colOff>728662</xdr:colOff>
      <xdr:row>20</xdr:row>
      <xdr:rowOff>528643</xdr:rowOff>
    </xdr:from>
    <xdr:to>
      <xdr:col>1</xdr:col>
      <xdr:colOff>909637</xdr:colOff>
      <xdr:row>20</xdr:row>
      <xdr:rowOff>709618</xdr:rowOff>
    </xdr:to>
    <xdr:sp macro="" textlink="'Block Template'!$E$21">
      <xdr:nvSpPr>
        <xdr:cNvPr id="5240" name="lblLabel">
          <a:extLst>
            <a:ext uri="{FF2B5EF4-FFF2-40B4-BE49-F238E27FC236}">
              <a16:creationId xmlns:a16="http://schemas.microsoft.com/office/drawing/2014/main" id="{00000000-0008-0000-0100-000078140000}"/>
            </a:ext>
          </a:extLst>
        </xdr:cNvPr>
        <xdr:cNvSpPr txBox="1">
          <a:spLocks noChangeArrowheads="1" noTextEdit="1"/>
        </xdr:cNvSpPr>
      </xdr:nvSpPr>
      <xdr:spPr bwMode="auto">
        <a:xfrm>
          <a:off x="1657350" y="23864893"/>
          <a:ext cx="180975" cy="1809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fld id="{CEE56283-BE01-48A9-831E-185B89183D39}" type="TxLink">
            <a:rPr lang="en-US" altLang="zh-CN" sz="800" b="0" i="0" u="none" strike="noStrike" baseline="0">
              <a:solidFill>
                <a:srgbClr val="000000"/>
              </a:solidFill>
              <a:latin typeface="Arial"/>
              <a:cs typeface="Arial"/>
            </a:rPr>
            <a:pPr algn="ctr" rtl="0">
              <a:defRPr sz="1000"/>
            </a:pPr>
            <a:t>10</a:t>
          </a:fld>
          <a:endParaRPr lang="en-US" altLang="zh-CN" sz="800" b="0" i="0" u="none" strike="noStrike" baseline="0">
            <a:solidFill>
              <a:srgbClr val="000000"/>
            </a:solidFill>
            <a:latin typeface="Arial"/>
            <a:cs typeface="Arial"/>
          </a:endParaRPr>
        </a:p>
      </xdr:txBody>
    </xdr:sp>
    <xdr:clientData/>
  </xdr:twoCellAnchor>
  <xdr:twoCellAnchor>
    <xdr:from>
      <xdr:col>4</xdr:col>
      <xdr:colOff>447675</xdr:colOff>
      <xdr:row>20</xdr:row>
      <xdr:rowOff>47625</xdr:rowOff>
    </xdr:from>
    <xdr:to>
      <xdr:col>7</xdr:col>
      <xdr:colOff>409575</xdr:colOff>
      <xdr:row>22</xdr:row>
      <xdr:rowOff>342900</xdr:rowOff>
    </xdr:to>
    <xdr:sp macro="" textlink="">
      <xdr:nvSpPr>
        <xdr:cNvPr id="49183" name="AutoShape 128">
          <a:extLst>
            <a:ext uri="{FF2B5EF4-FFF2-40B4-BE49-F238E27FC236}">
              <a16:creationId xmlns:a16="http://schemas.microsoft.com/office/drawing/2014/main" id="{00000000-0008-0000-0100-00001FC00000}"/>
            </a:ext>
          </a:extLst>
        </xdr:cNvPr>
        <xdr:cNvSpPr>
          <a:spLocks noChangeArrowheads="1"/>
        </xdr:cNvSpPr>
      </xdr:nvSpPr>
      <xdr:spPr bwMode="auto">
        <a:xfrm rot="-9757068">
          <a:off x="5705475" y="23564850"/>
          <a:ext cx="1790700" cy="2695575"/>
        </a:xfrm>
        <a:custGeom>
          <a:avLst/>
          <a:gdLst>
            <a:gd name="T0" fmla="*/ 2147483647 w 21600"/>
            <a:gd name="T1" fmla="*/ 2147483647 h 21600"/>
            <a:gd name="T2" fmla="*/ 2147483647 w 21600"/>
            <a:gd name="T3" fmla="*/ 2147483647 h 21600"/>
            <a:gd name="T4" fmla="*/ 2147483647 w 21600"/>
            <a:gd name="T5" fmla="*/ 2147483647 h 21600"/>
            <a:gd name="T6" fmla="*/ 2147483647 w 21600"/>
            <a:gd name="T7" fmla="*/ 2147483647 h 21600"/>
            <a:gd name="T8" fmla="*/ 2147483647 w 21600"/>
            <a:gd name="T9" fmla="*/ 2147483647 h 21600"/>
            <a:gd name="T10" fmla="*/ 2147483647 w 21600"/>
            <a:gd name="T11" fmla="*/ 2147483647 h 21600"/>
            <a:gd name="T12" fmla="*/ 0 60000 65536"/>
            <a:gd name="T13" fmla="*/ 0 60000 65536"/>
            <a:gd name="T14" fmla="*/ 0 60000 65536"/>
            <a:gd name="T15" fmla="*/ 0 60000 65536"/>
            <a:gd name="T16" fmla="*/ 0 60000 65536"/>
            <a:gd name="T17" fmla="*/ 0 60000 65536"/>
            <a:gd name="T18" fmla="*/ 3163 w 21600"/>
            <a:gd name="T19" fmla="*/ 3163 h 21600"/>
            <a:gd name="T20" fmla="*/ 18437 w 21600"/>
            <a:gd name="T21" fmla="*/ 18437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681" y="6774"/>
              </a:moveTo>
              <a:cubicBezTo>
                <a:pt x="18101" y="3288"/>
                <a:pt x="14627" y="1049"/>
                <a:pt x="10800" y="1049"/>
              </a:cubicBezTo>
              <a:cubicBezTo>
                <a:pt x="5414" y="1049"/>
                <a:pt x="1049" y="5414"/>
                <a:pt x="1049" y="10800"/>
              </a:cubicBezTo>
              <a:cubicBezTo>
                <a:pt x="1048" y="12736"/>
                <a:pt x="1625" y="14628"/>
                <a:pt x="2705" y="16236"/>
              </a:cubicBezTo>
              <a:lnTo>
                <a:pt x="1834" y="16821"/>
              </a:lnTo>
              <a:cubicBezTo>
                <a:pt x="638" y="15040"/>
                <a:pt x="0" y="12944"/>
                <a:pt x="0" y="10800"/>
              </a:cubicBezTo>
              <a:cubicBezTo>
                <a:pt x="0" y="4835"/>
                <a:pt x="4835" y="0"/>
                <a:pt x="10800" y="0"/>
              </a:cubicBezTo>
              <a:cubicBezTo>
                <a:pt x="15039" y="-1"/>
                <a:pt x="18886" y="2480"/>
                <a:pt x="20636" y="6341"/>
              </a:cubicBezTo>
              <a:lnTo>
                <a:pt x="23095" y="5226"/>
              </a:lnTo>
              <a:lnTo>
                <a:pt x="21491" y="9494"/>
              </a:lnTo>
              <a:lnTo>
                <a:pt x="17222" y="7889"/>
              </a:lnTo>
              <a:lnTo>
                <a:pt x="19681" y="6774"/>
              </a:lnTo>
              <a:close/>
            </a:path>
          </a:pathLst>
        </a:custGeom>
        <a:solidFill>
          <a:srgbClr val="FFFFFF"/>
        </a:solidFill>
        <a:ln w="9525">
          <a:solidFill>
            <a:srgbClr val="000000"/>
          </a:solidFill>
          <a:miter lim="800000"/>
          <a:headEnd/>
          <a:tailEnd/>
        </a:ln>
      </xdr:spPr>
    </xdr:sp>
    <xdr:clientData/>
  </xdr:twoCellAnchor>
  <xdr:twoCellAnchor>
    <xdr:from>
      <xdr:col>5</xdr:col>
      <xdr:colOff>342900</xdr:colOff>
      <xdr:row>4</xdr:row>
      <xdr:rowOff>257175</xdr:rowOff>
    </xdr:from>
    <xdr:to>
      <xdr:col>6</xdr:col>
      <xdr:colOff>466725</xdr:colOff>
      <xdr:row>4</xdr:row>
      <xdr:rowOff>428625</xdr:rowOff>
    </xdr:to>
    <xdr:grpSp>
      <xdr:nvGrpSpPr>
        <xdr:cNvPr id="49184" name="Group 143">
          <a:extLst>
            <a:ext uri="{FF2B5EF4-FFF2-40B4-BE49-F238E27FC236}">
              <a16:creationId xmlns:a16="http://schemas.microsoft.com/office/drawing/2014/main" id="{00000000-0008-0000-0100-000020C00000}"/>
            </a:ext>
          </a:extLst>
        </xdr:cNvPr>
        <xdr:cNvGrpSpPr>
          <a:grpSpLocks/>
        </xdr:cNvGrpSpPr>
      </xdr:nvGrpSpPr>
      <xdr:grpSpPr bwMode="auto">
        <a:xfrm>
          <a:off x="6210300" y="4572000"/>
          <a:ext cx="733425" cy="171450"/>
          <a:chOff x="221" y="560"/>
          <a:chExt cx="77" cy="18"/>
        </a:xfrm>
      </xdr:grpSpPr>
      <xdr:sp macro="" textlink="">
        <xdr:nvSpPr>
          <xdr:cNvPr id="49211" name="Line 137">
            <a:extLst>
              <a:ext uri="{FF2B5EF4-FFF2-40B4-BE49-F238E27FC236}">
                <a16:creationId xmlns:a16="http://schemas.microsoft.com/office/drawing/2014/main" id="{00000000-0008-0000-0100-00003BC00000}"/>
              </a:ext>
            </a:extLst>
          </xdr:cNvPr>
          <xdr:cNvSpPr>
            <a:spLocks noChangeShapeType="1"/>
          </xdr:cNvSpPr>
        </xdr:nvSpPr>
        <xdr:spPr bwMode="auto">
          <a:xfrm>
            <a:off x="221" y="570"/>
            <a:ext cx="34" cy="0"/>
          </a:xfrm>
          <a:prstGeom prst="line">
            <a:avLst/>
          </a:prstGeom>
          <a:noFill/>
          <a:ln w="9525">
            <a:solidFill>
              <a:srgbClr val="000000"/>
            </a:solidFill>
            <a:round/>
            <a:headEnd/>
            <a:tailEnd/>
          </a:ln>
        </xdr:spPr>
      </xdr:sp>
      <xdr:sp macro="" textlink="">
        <xdr:nvSpPr>
          <xdr:cNvPr id="49212" name="Line 138">
            <a:extLst>
              <a:ext uri="{FF2B5EF4-FFF2-40B4-BE49-F238E27FC236}">
                <a16:creationId xmlns:a16="http://schemas.microsoft.com/office/drawing/2014/main" id="{00000000-0008-0000-0100-00003CC00000}"/>
              </a:ext>
            </a:extLst>
          </xdr:cNvPr>
          <xdr:cNvSpPr>
            <a:spLocks noChangeShapeType="1"/>
          </xdr:cNvSpPr>
        </xdr:nvSpPr>
        <xdr:spPr bwMode="auto">
          <a:xfrm>
            <a:off x="262" y="570"/>
            <a:ext cx="36" cy="0"/>
          </a:xfrm>
          <a:prstGeom prst="line">
            <a:avLst/>
          </a:prstGeom>
          <a:noFill/>
          <a:ln w="9525">
            <a:solidFill>
              <a:srgbClr val="000000"/>
            </a:solidFill>
            <a:round/>
            <a:headEnd/>
            <a:tailEnd/>
          </a:ln>
        </xdr:spPr>
      </xdr:sp>
      <xdr:sp macro="" textlink="">
        <xdr:nvSpPr>
          <xdr:cNvPr id="49213" name="Line 141">
            <a:extLst>
              <a:ext uri="{FF2B5EF4-FFF2-40B4-BE49-F238E27FC236}">
                <a16:creationId xmlns:a16="http://schemas.microsoft.com/office/drawing/2014/main" id="{00000000-0008-0000-0100-00003DC00000}"/>
              </a:ext>
            </a:extLst>
          </xdr:cNvPr>
          <xdr:cNvSpPr>
            <a:spLocks noChangeShapeType="1"/>
          </xdr:cNvSpPr>
        </xdr:nvSpPr>
        <xdr:spPr bwMode="auto">
          <a:xfrm>
            <a:off x="255" y="560"/>
            <a:ext cx="0" cy="18"/>
          </a:xfrm>
          <a:prstGeom prst="line">
            <a:avLst/>
          </a:prstGeom>
          <a:noFill/>
          <a:ln w="9525">
            <a:solidFill>
              <a:srgbClr val="000000"/>
            </a:solidFill>
            <a:round/>
            <a:headEnd/>
            <a:tailEnd/>
          </a:ln>
        </xdr:spPr>
      </xdr:sp>
      <xdr:sp macro="" textlink="">
        <xdr:nvSpPr>
          <xdr:cNvPr id="49214" name="Line 142">
            <a:extLst>
              <a:ext uri="{FF2B5EF4-FFF2-40B4-BE49-F238E27FC236}">
                <a16:creationId xmlns:a16="http://schemas.microsoft.com/office/drawing/2014/main" id="{00000000-0008-0000-0100-00003EC00000}"/>
              </a:ext>
            </a:extLst>
          </xdr:cNvPr>
          <xdr:cNvSpPr>
            <a:spLocks noChangeShapeType="1"/>
          </xdr:cNvSpPr>
        </xdr:nvSpPr>
        <xdr:spPr bwMode="auto">
          <a:xfrm>
            <a:off x="262" y="560"/>
            <a:ext cx="0" cy="18"/>
          </a:xfrm>
          <a:prstGeom prst="line">
            <a:avLst/>
          </a:prstGeom>
          <a:noFill/>
          <a:ln w="9525">
            <a:solidFill>
              <a:srgbClr val="000000"/>
            </a:solidFill>
            <a:round/>
            <a:headEnd/>
            <a:tailEnd/>
          </a:ln>
        </xdr:spPr>
      </xdr:sp>
    </xdr:grpSp>
    <xdr:clientData/>
  </xdr:twoCellAnchor>
  <xdr:twoCellAnchor>
    <xdr:from>
      <xdr:col>1</xdr:col>
      <xdr:colOff>638175</xdr:colOff>
      <xdr:row>4</xdr:row>
      <xdr:rowOff>476250</xdr:rowOff>
    </xdr:from>
    <xdr:to>
      <xdr:col>1</xdr:col>
      <xdr:colOff>819150</xdr:colOff>
      <xdr:row>4</xdr:row>
      <xdr:rowOff>742950</xdr:rowOff>
    </xdr:to>
    <xdr:grpSp>
      <xdr:nvGrpSpPr>
        <xdr:cNvPr id="49185" name="Group 144">
          <a:extLst>
            <a:ext uri="{FF2B5EF4-FFF2-40B4-BE49-F238E27FC236}">
              <a16:creationId xmlns:a16="http://schemas.microsoft.com/office/drawing/2014/main" id="{00000000-0008-0000-0100-000021C00000}"/>
            </a:ext>
          </a:extLst>
        </xdr:cNvPr>
        <xdr:cNvGrpSpPr>
          <a:grpSpLocks/>
        </xdr:cNvGrpSpPr>
      </xdr:nvGrpSpPr>
      <xdr:grpSpPr bwMode="auto">
        <a:xfrm>
          <a:off x="1562100" y="4791075"/>
          <a:ext cx="180975" cy="266700"/>
          <a:chOff x="257" y="557"/>
          <a:chExt cx="19" cy="29"/>
        </a:xfrm>
      </xdr:grpSpPr>
      <xdr:sp macro="" textlink="">
        <xdr:nvSpPr>
          <xdr:cNvPr id="49208" name="Rectangle 145">
            <a:extLst>
              <a:ext uri="{FF2B5EF4-FFF2-40B4-BE49-F238E27FC236}">
                <a16:creationId xmlns:a16="http://schemas.microsoft.com/office/drawing/2014/main" id="{00000000-0008-0000-0100-000038C00000}"/>
              </a:ext>
            </a:extLst>
          </xdr:cNvPr>
          <xdr:cNvSpPr>
            <a:spLocks noChangeArrowheads="1"/>
          </xdr:cNvSpPr>
        </xdr:nvSpPr>
        <xdr:spPr bwMode="auto">
          <a:xfrm rot="10800000">
            <a:off x="262" y="558"/>
            <a:ext cx="9" cy="25"/>
          </a:xfrm>
          <a:prstGeom prst="rect">
            <a:avLst/>
          </a:prstGeom>
          <a:solidFill>
            <a:srgbClr val="FFFFFF"/>
          </a:solidFill>
          <a:ln w="9525">
            <a:solidFill>
              <a:srgbClr val="000000"/>
            </a:solidFill>
            <a:miter lim="800000"/>
            <a:headEnd/>
            <a:tailEnd/>
          </a:ln>
        </xdr:spPr>
      </xdr:sp>
      <xdr:sp macro="" textlink="">
        <xdr:nvSpPr>
          <xdr:cNvPr id="49209" name="Rectangle 146">
            <a:extLst>
              <a:ext uri="{FF2B5EF4-FFF2-40B4-BE49-F238E27FC236}">
                <a16:creationId xmlns:a16="http://schemas.microsoft.com/office/drawing/2014/main" id="{00000000-0008-0000-0100-000039C00000}"/>
              </a:ext>
            </a:extLst>
          </xdr:cNvPr>
          <xdr:cNvSpPr>
            <a:spLocks noChangeArrowheads="1"/>
          </xdr:cNvSpPr>
        </xdr:nvSpPr>
        <xdr:spPr bwMode="auto">
          <a:xfrm rot="10800000">
            <a:off x="257" y="581"/>
            <a:ext cx="19" cy="5"/>
          </a:xfrm>
          <a:prstGeom prst="rect">
            <a:avLst/>
          </a:prstGeom>
          <a:solidFill>
            <a:srgbClr val="FFFFFF"/>
          </a:solidFill>
          <a:ln w="9525">
            <a:noFill/>
            <a:miter lim="800000"/>
            <a:headEnd/>
            <a:tailEnd/>
          </a:ln>
        </xdr:spPr>
      </xdr:sp>
      <xdr:sp macro="" textlink="">
        <xdr:nvSpPr>
          <xdr:cNvPr id="49210" name="Rectangle 147">
            <a:extLst>
              <a:ext uri="{FF2B5EF4-FFF2-40B4-BE49-F238E27FC236}">
                <a16:creationId xmlns:a16="http://schemas.microsoft.com/office/drawing/2014/main" id="{00000000-0008-0000-0100-00003AC00000}"/>
              </a:ext>
            </a:extLst>
          </xdr:cNvPr>
          <xdr:cNvSpPr>
            <a:spLocks noChangeArrowheads="1"/>
          </xdr:cNvSpPr>
        </xdr:nvSpPr>
        <xdr:spPr bwMode="auto">
          <a:xfrm rot="10800000">
            <a:off x="257" y="557"/>
            <a:ext cx="19" cy="5"/>
          </a:xfrm>
          <a:prstGeom prst="rect">
            <a:avLst/>
          </a:prstGeom>
          <a:solidFill>
            <a:srgbClr val="FFFFFF"/>
          </a:solidFill>
          <a:ln w="9525">
            <a:noFill/>
            <a:miter lim="800000"/>
            <a:headEnd/>
            <a:tailEnd/>
          </a:ln>
        </xdr:spPr>
      </xdr:sp>
    </xdr:grpSp>
    <xdr:clientData/>
  </xdr:twoCellAnchor>
  <xdr:twoCellAnchor>
    <xdr:from>
      <xdr:col>5</xdr:col>
      <xdr:colOff>323850</xdr:colOff>
      <xdr:row>6</xdr:row>
      <xdr:rowOff>76200</xdr:rowOff>
    </xdr:from>
    <xdr:to>
      <xdr:col>7</xdr:col>
      <xdr:colOff>304800</xdr:colOff>
      <xdr:row>6</xdr:row>
      <xdr:rowOff>628650</xdr:rowOff>
    </xdr:to>
    <xdr:grpSp>
      <xdr:nvGrpSpPr>
        <xdr:cNvPr id="49186" name="grpComponent">
          <a:extLst>
            <a:ext uri="{FF2B5EF4-FFF2-40B4-BE49-F238E27FC236}">
              <a16:creationId xmlns:a16="http://schemas.microsoft.com/office/drawing/2014/main" id="{00000000-0008-0000-0100-000022C00000}"/>
            </a:ext>
          </a:extLst>
        </xdr:cNvPr>
        <xdr:cNvGrpSpPr>
          <a:grpSpLocks/>
        </xdr:cNvGrpSpPr>
      </xdr:nvGrpSpPr>
      <xdr:grpSpPr bwMode="auto">
        <a:xfrm>
          <a:off x="6191250" y="6791325"/>
          <a:ext cx="1200150" cy="552450"/>
          <a:chOff x="20" y="11"/>
          <a:chExt cx="130" cy="59"/>
        </a:xfrm>
      </xdr:grpSpPr>
      <xdr:grpSp>
        <xdr:nvGrpSpPr>
          <xdr:cNvPr id="49204" name="blkComponent">
            <a:extLst>
              <a:ext uri="{FF2B5EF4-FFF2-40B4-BE49-F238E27FC236}">
                <a16:creationId xmlns:a16="http://schemas.microsoft.com/office/drawing/2014/main" id="{00000000-0008-0000-0100-000034C00000}"/>
              </a:ext>
            </a:extLst>
          </xdr:cNvPr>
          <xdr:cNvGrpSpPr>
            <a:grpSpLocks/>
          </xdr:cNvGrpSpPr>
        </xdr:nvGrpSpPr>
        <xdr:grpSpPr bwMode="auto">
          <a:xfrm>
            <a:off x="20" y="11"/>
            <a:ext cx="130" cy="59"/>
            <a:chOff x="197" y="256"/>
            <a:chExt cx="130" cy="59"/>
          </a:xfrm>
        </xdr:grpSpPr>
        <xdr:sp macro="" textlink="">
          <xdr:nvSpPr>
            <xdr:cNvPr id="49206" name="Freeform 159">
              <a:extLst>
                <a:ext uri="{FF2B5EF4-FFF2-40B4-BE49-F238E27FC236}">
                  <a16:creationId xmlns:a16="http://schemas.microsoft.com/office/drawing/2014/main" id="{00000000-0008-0000-0100-000036C00000}"/>
                </a:ext>
              </a:extLst>
            </xdr:cNvPr>
            <xdr:cNvSpPr>
              <a:spLocks/>
            </xdr:cNvSpPr>
          </xdr:nvSpPr>
          <xdr:spPr bwMode="auto">
            <a:xfrm>
              <a:off x="197" y="256"/>
              <a:ext cx="130" cy="59"/>
            </a:xfrm>
            <a:custGeom>
              <a:avLst/>
              <a:gdLst>
                <a:gd name="T0" fmla="*/ 0 w 130"/>
                <a:gd name="T1" fmla="*/ 0 h 59"/>
                <a:gd name="T2" fmla="*/ 0 w 130"/>
                <a:gd name="T3" fmla="*/ 10 h 59"/>
                <a:gd name="T4" fmla="*/ 0 w 130"/>
                <a:gd name="T5" fmla="*/ 20 h 59"/>
                <a:gd name="T6" fmla="*/ 0 w 130"/>
                <a:gd name="T7" fmla="*/ 30 h 59"/>
                <a:gd name="T8" fmla="*/ 0 w 130"/>
                <a:gd name="T9" fmla="*/ 42 h 59"/>
                <a:gd name="T10" fmla="*/ 0 w 130"/>
                <a:gd name="T11" fmla="*/ 51 h 59"/>
                <a:gd name="T12" fmla="*/ 0 w 130"/>
                <a:gd name="T13" fmla="*/ 59 h 59"/>
                <a:gd name="T14" fmla="*/ 11 w 130"/>
                <a:gd name="T15" fmla="*/ 59 h 59"/>
                <a:gd name="T16" fmla="*/ 22 w 130"/>
                <a:gd name="T17" fmla="*/ 59 h 59"/>
                <a:gd name="T18" fmla="*/ 34 w 130"/>
                <a:gd name="T19" fmla="*/ 59 h 59"/>
                <a:gd name="T20" fmla="*/ 46 w 130"/>
                <a:gd name="T21" fmla="*/ 59 h 59"/>
                <a:gd name="T22" fmla="*/ 60 w 130"/>
                <a:gd name="T23" fmla="*/ 59 h 59"/>
                <a:gd name="T24" fmla="*/ 73 w 130"/>
                <a:gd name="T25" fmla="*/ 59 h 59"/>
                <a:gd name="T26" fmla="*/ 85 w 130"/>
                <a:gd name="T27" fmla="*/ 59 h 59"/>
                <a:gd name="T28" fmla="*/ 99 w 130"/>
                <a:gd name="T29" fmla="*/ 59 h 59"/>
                <a:gd name="T30" fmla="*/ 110 w 130"/>
                <a:gd name="T31" fmla="*/ 59 h 59"/>
                <a:gd name="T32" fmla="*/ 120 w 130"/>
                <a:gd name="T33" fmla="*/ 59 h 59"/>
                <a:gd name="T34" fmla="*/ 130 w 130"/>
                <a:gd name="T35" fmla="*/ 59 h 59"/>
                <a:gd name="T36" fmla="*/ 130 w 130"/>
                <a:gd name="T37" fmla="*/ 51 h 59"/>
                <a:gd name="T38" fmla="*/ 130 w 130"/>
                <a:gd name="T39" fmla="*/ 43 h 59"/>
                <a:gd name="T40" fmla="*/ 130 w 130"/>
                <a:gd name="T41" fmla="*/ 32 h 59"/>
                <a:gd name="T42" fmla="*/ 130 w 130"/>
                <a:gd name="T43" fmla="*/ 20 h 59"/>
                <a:gd name="T44" fmla="*/ 130 w 130"/>
                <a:gd name="T45" fmla="*/ 9 h 59"/>
                <a:gd name="T46" fmla="*/ 130 w 130"/>
                <a:gd name="T47" fmla="*/ 0 h 59"/>
                <a:gd name="T48" fmla="*/ 119 w 130"/>
                <a:gd name="T49" fmla="*/ 0 h 59"/>
                <a:gd name="T50" fmla="*/ 110 w 130"/>
                <a:gd name="T51" fmla="*/ 0 h 59"/>
                <a:gd name="T52" fmla="*/ 99 w 130"/>
                <a:gd name="T53" fmla="*/ 0 h 59"/>
                <a:gd name="T54" fmla="*/ 87 w 130"/>
                <a:gd name="T55" fmla="*/ 0 h 59"/>
                <a:gd name="T56" fmla="*/ 74 w 130"/>
                <a:gd name="T57" fmla="*/ 0 h 59"/>
                <a:gd name="T58" fmla="*/ 59 w 130"/>
                <a:gd name="T59" fmla="*/ 0 h 59"/>
                <a:gd name="T60" fmla="*/ 47 w 130"/>
                <a:gd name="T61" fmla="*/ 0 h 59"/>
                <a:gd name="T62" fmla="*/ 34 w 130"/>
                <a:gd name="T63" fmla="*/ 0 h 59"/>
                <a:gd name="T64" fmla="*/ 23 w 130"/>
                <a:gd name="T65" fmla="*/ 0 h 59"/>
                <a:gd name="T66" fmla="*/ 12 w 130"/>
                <a:gd name="T67" fmla="*/ 0 h 59"/>
                <a:gd name="T68" fmla="*/ 0 w 130"/>
                <a:gd name="T69" fmla="*/ 0 h 59"/>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w 130"/>
                <a:gd name="T106" fmla="*/ 0 h 59"/>
                <a:gd name="T107" fmla="*/ 130 w 130"/>
                <a:gd name="T108" fmla="*/ 59 h 59"/>
              </a:gdLst>
              <a:ahLst/>
              <a:cxnLst>
                <a:cxn ang="T70">
                  <a:pos x="T0" y="T1"/>
                </a:cxn>
                <a:cxn ang="T71">
                  <a:pos x="T2" y="T3"/>
                </a:cxn>
                <a:cxn ang="T72">
                  <a:pos x="T4" y="T5"/>
                </a:cxn>
                <a:cxn ang="T73">
                  <a:pos x="T6" y="T7"/>
                </a:cxn>
                <a:cxn ang="T74">
                  <a:pos x="T8" y="T9"/>
                </a:cxn>
                <a:cxn ang="T75">
                  <a:pos x="T10" y="T11"/>
                </a:cxn>
                <a:cxn ang="T76">
                  <a:pos x="T12" y="T13"/>
                </a:cxn>
                <a:cxn ang="T77">
                  <a:pos x="T14" y="T15"/>
                </a:cxn>
                <a:cxn ang="T78">
                  <a:pos x="T16" y="T17"/>
                </a:cxn>
                <a:cxn ang="T79">
                  <a:pos x="T18" y="T19"/>
                </a:cxn>
                <a:cxn ang="T80">
                  <a:pos x="T20" y="T21"/>
                </a:cxn>
                <a:cxn ang="T81">
                  <a:pos x="T22" y="T23"/>
                </a:cxn>
                <a:cxn ang="T82">
                  <a:pos x="T24" y="T25"/>
                </a:cxn>
                <a:cxn ang="T83">
                  <a:pos x="T26" y="T27"/>
                </a:cxn>
                <a:cxn ang="T84">
                  <a:pos x="T28" y="T29"/>
                </a:cxn>
                <a:cxn ang="T85">
                  <a:pos x="T30" y="T31"/>
                </a:cxn>
                <a:cxn ang="T86">
                  <a:pos x="T32" y="T33"/>
                </a:cxn>
                <a:cxn ang="T87">
                  <a:pos x="T34" y="T35"/>
                </a:cxn>
                <a:cxn ang="T88">
                  <a:pos x="T36" y="T37"/>
                </a:cxn>
                <a:cxn ang="T89">
                  <a:pos x="T38" y="T39"/>
                </a:cxn>
                <a:cxn ang="T90">
                  <a:pos x="T40" y="T41"/>
                </a:cxn>
                <a:cxn ang="T91">
                  <a:pos x="T42" y="T43"/>
                </a:cxn>
                <a:cxn ang="T92">
                  <a:pos x="T44" y="T45"/>
                </a:cxn>
                <a:cxn ang="T93">
                  <a:pos x="T46" y="T47"/>
                </a:cxn>
                <a:cxn ang="T94">
                  <a:pos x="T48" y="T49"/>
                </a:cxn>
                <a:cxn ang="T95">
                  <a:pos x="T50" y="T51"/>
                </a:cxn>
                <a:cxn ang="T96">
                  <a:pos x="T52" y="T53"/>
                </a:cxn>
                <a:cxn ang="T97">
                  <a:pos x="T54" y="T55"/>
                </a:cxn>
                <a:cxn ang="T98">
                  <a:pos x="T56" y="T57"/>
                </a:cxn>
                <a:cxn ang="T99">
                  <a:pos x="T58" y="T59"/>
                </a:cxn>
                <a:cxn ang="T100">
                  <a:pos x="T60" y="T61"/>
                </a:cxn>
                <a:cxn ang="T101">
                  <a:pos x="T62" y="T63"/>
                </a:cxn>
                <a:cxn ang="T102">
                  <a:pos x="T64" y="T65"/>
                </a:cxn>
                <a:cxn ang="T103">
                  <a:pos x="T66" y="T67"/>
                </a:cxn>
                <a:cxn ang="T104">
                  <a:pos x="T68" y="T69"/>
                </a:cxn>
              </a:cxnLst>
              <a:rect l="T105" t="T106" r="T107" b="T108"/>
              <a:pathLst>
                <a:path w="130" h="59">
                  <a:moveTo>
                    <a:pt x="0" y="0"/>
                  </a:moveTo>
                  <a:lnTo>
                    <a:pt x="0" y="10"/>
                  </a:lnTo>
                  <a:lnTo>
                    <a:pt x="0" y="20"/>
                  </a:lnTo>
                  <a:lnTo>
                    <a:pt x="0" y="30"/>
                  </a:lnTo>
                  <a:lnTo>
                    <a:pt x="0" y="42"/>
                  </a:lnTo>
                  <a:lnTo>
                    <a:pt x="0" y="51"/>
                  </a:lnTo>
                  <a:lnTo>
                    <a:pt x="0" y="59"/>
                  </a:lnTo>
                  <a:lnTo>
                    <a:pt x="11" y="59"/>
                  </a:lnTo>
                  <a:lnTo>
                    <a:pt x="22" y="59"/>
                  </a:lnTo>
                  <a:lnTo>
                    <a:pt x="34" y="59"/>
                  </a:lnTo>
                  <a:lnTo>
                    <a:pt x="46" y="59"/>
                  </a:lnTo>
                  <a:lnTo>
                    <a:pt x="60" y="59"/>
                  </a:lnTo>
                  <a:lnTo>
                    <a:pt x="73" y="59"/>
                  </a:lnTo>
                  <a:lnTo>
                    <a:pt x="85" y="59"/>
                  </a:lnTo>
                  <a:lnTo>
                    <a:pt x="99" y="59"/>
                  </a:lnTo>
                  <a:lnTo>
                    <a:pt x="110" y="59"/>
                  </a:lnTo>
                  <a:lnTo>
                    <a:pt x="120" y="59"/>
                  </a:lnTo>
                  <a:lnTo>
                    <a:pt x="130" y="59"/>
                  </a:lnTo>
                  <a:lnTo>
                    <a:pt x="130" y="51"/>
                  </a:lnTo>
                  <a:lnTo>
                    <a:pt x="130" y="43"/>
                  </a:lnTo>
                  <a:lnTo>
                    <a:pt x="130" y="32"/>
                  </a:lnTo>
                  <a:lnTo>
                    <a:pt x="130" y="20"/>
                  </a:lnTo>
                  <a:lnTo>
                    <a:pt x="130" y="9"/>
                  </a:lnTo>
                  <a:lnTo>
                    <a:pt x="130" y="0"/>
                  </a:lnTo>
                  <a:lnTo>
                    <a:pt x="119" y="0"/>
                  </a:lnTo>
                  <a:lnTo>
                    <a:pt x="110" y="0"/>
                  </a:lnTo>
                  <a:lnTo>
                    <a:pt x="99" y="0"/>
                  </a:lnTo>
                  <a:lnTo>
                    <a:pt x="87" y="0"/>
                  </a:lnTo>
                  <a:lnTo>
                    <a:pt x="74" y="0"/>
                  </a:lnTo>
                  <a:lnTo>
                    <a:pt x="59" y="0"/>
                  </a:lnTo>
                  <a:lnTo>
                    <a:pt x="47" y="0"/>
                  </a:lnTo>
                  <a:lnTo>
                    <a:pt x="34" y="0"/>
                  </a:lnTo>
                  <a:lnTo>
                    <a:pt x="23" y="0"/>
                  </a:lnTo>
                  <a:lnTo>
                    <a:pt x="12" y="0"/>
                  </a:lnTo>
                  <a:lnTo>
                    <a:pt x="0" y="0"/>
                  </a:lnTo>
                  <a:close/>
                </a:path>
              </a:pathLst>
            </a:custGeom>
            <a:solidFill>
              <a:srgbClr val="C0C0C0">
                <a:alpha val="50195"/>
              </a:srgbClr>
            </a:solidFill>
            <a:ln w="9525">
              <a:solidFill>
                <a:srgbClr val="000000"/>
              </a:solidFill>
              <a:round/>
              <a:headEnd/>
              <a:tailEnd/>
            </a:ln>
          </xdr:spPr>
        </xdr:sp>
        <xdr:sp macro="" textlink="">
          <xdr:nvSpPr>
            <xdr:cNvPr id="49207" name="Text Box 160">
              <a:extLst>
                <a:ext uri="{FF2B5EF4-FFF2-40B4-BE49-F238E27FC236}">
                  <a16:creationId xmlns:a16="http://schemas.microsoft.com/office/drawing/2014/main" id="{00000000-0008-0000-0100-000037C00000}"/>
                </a:ext>
              </a:extLst>
            </xdr:cNvPr>
            <xdr:cNvSpPr txBox="1">
              <a:spLocks noChangeArrowheads="1"/>
            </xdr:cNvSpPr>
          </xdr:nvSpPr>
          <xdr:spPr bwMode="auto">
            <a:xfrm>
              <a:off x="202" y="260"/>
              <a:ext cx="121" cy="52"/>
            </a:xfrm>
            <a:prstGeom prst="rect">
              <a:avLst/>
            </a:prstGeom>
            <a:noFill/>
            <a:ln w="9525">
              <a:noFill/>
              <a:miter lim="800000"/>
              <a:headEnd/>
              <a:tailEnd/>
            </a:ln>
          </xdr:spPr>
        </xdr:sp>
      </xdr:grpSp>
      <xdr:sp macro="" textlink="">
        <xdr:nvSpPr>
          <xdr:cNvPr id="5281" name="lblLetter">
            <a:extLst>
              <a:ext uri="{FF2B5EF4-FFF2-40B4-BE49-F238E27FC236}">
                <a16:creationId xmlns:a16="http://schemas.microsoft.com/office/drawing/2014/main" id="{00000000-0008-0000-0100-0000A1140000}"/>
              </a:ext>
            </a:extLst>
          </xdr:cNvPr>
          <xdr:cNvSpPr txBox="1">
            <a:spLocks noChangeArrowheads="1"/>
          </xdr:cNvSpPr>
        </xdr:nvSpPr>
        <xdr:spPr bwMode="auto">
          <a:xfrm>
            <a:off x="20" y="13"/>
            <a:ext cx="13" cy="24"/>
          </a:xfrm>
          <a:prstGeom prst="rect">
            <a:avLst/>
          </a:prstGeom>
          <a:solidFill>
            <a:srgbClr val="FFFFFF">
              <a:alpha val="50000"/>
            </a:srgbClr>
          </a:solidFill>
          <a:ln w="9525">
            <a:solidFill>
              <a:srgbClr val="000000"/>
            </a:solidFill>
            <a:miter lim="800000"/>
            <a:headEnd/>
            <a:tailEnd/>
          </a:ln>
        </xdr:spPr>
        <xdr:txBody>
          <a:bodyPr wrap="none" lIns="18288" tIns="22860" rIns="18288" bIns="22860" anchor="ctr" upright="1">
            <a:spAutoFit/>
          </a:bodyPr>
          <a:lstStyle/>
          <a:p>
            <a:pPr algn="ctr" rtl="0">
              <a:defRPr sz="1000"/>
            </a:pPr>
            <a:r>
              <a:rPr lang="en-US" altLang="zh-CN" sz="1000" b="0" i="0" u="none" strike="noStrike" baseline="0">
                <a:solidFill>
                  <a:srgbClr val="FF0000"/>
                </a:solidFill>
                <a:latin typeface="Arial"/>
                <a:cs typeface="Arial"/>
              </a:rPr>
              <a:t>A</a:t>
            </a:r>
          </a:p>
        </xdr:txBody>
      </xdr:sp>
    </xdr:grpSp>
    <xdr:clientData/>
  </xdr:twoCellAnchor>
  <xdr:twoCellAnchor>
    <xdr:from>
      <xdr:col>7</xdr:col>
      <xdr:colOff>390525</xdr:colOff>
      <xdr:row>1</xdr:row>
      <xdr:rowOff>485775</xdr:rowOff>
    </xdr:from>
    <xdr:to>
      <xdr:col>9</xdr:col>
      <xdr:colOff>381000</xdr:colOff>
      <xdr:row>1</xdr:row>
      <xdr:rowOff>1047750</xdr:rowOff>
    </xdr:to>
    <xdr:grpSp>
      <xdr:nvGrpSpPr>
        <xdr:cNvPr id="49187" name="grpComponent">
          <a:extLst>
            <a:ext uri="{FF2B5EF4-FFF2-40B4-BE49-F238E27FC236}">
              <a16:creationId xmlns:a16="http://schemas.microsoft.com/office/drawing/2014/main" id="{00000000-0008-0000-0100-000023C00000}"/>
            </a:ext>
          </a:extLst>
        </xdr:cNvPr>
        <xdr:cNvGrpSpPr>
          <a:grpSpLocks/>
        </xdr:cNvGrpSpPr>
      </xdr:nvGrpSpPr>
      <xdr:grpSpPr bwMode="auto">
        <a:xfrm>
          <a:off x="7477125" y="1200150"/>
          <a:ext cx="1209675" cy="561975"/>
          <a:chOff x="430" y="290"/>
          <a:chExt cx="125" cy="59"/>
        </a:xfrm>
      </xdr:grpSpPr>
      <xdr:grpSp>
        <xdr:nvGrpSpPr>
          <xdr:cNvPr id="49200" name="blkComponent">
            <a:extLst>
              <a:ext uri="{FF2B5EF4-FFF2-40B4-BE49-F238E27FC236}">
                <a16:creationId xmlns:a16="http://schemas.microsoft.com/office/drawing/2014/main" id="{00000000-0008-0000-0100-000030C00000}"/>
              </a:ext>
            </a:extLst>
          </xdr:cNvPr>
          <xdr:cNvGrpSpPr>
            <a:grpSpLocks/>
          </xdr:cNvGrpSpPr>
        </xdr:nvGrpSpPr>
        <xdr:grpSpPr bwMode="auto">
          <a:xfrm>
            <a:off x="430" y="290"/>
            <a:ext cx="125" cy="59"/>
            <a:chOff x="197" y="256"/>
            <a:chExt cx="130" cy="59"/>
          </a:xfrm>
        </xdr:grpSpPr>
        <xdr:sp macro="" textlink="">
          <xdr:nvSpPr>
            <xdr:cNvPr id="49202" name="Freeform 1760">
              <a:extLst>
                <a:ext uri="{FF2B5EF4-FFF2-40B4-BE49-F238E27FC236}">
                  <a16:creationId xmlns:a16="http://schemas.microsoft.com/office/drawing/2014/main" id="{00000000-0008-0000-0100-000032C00000}"/>
                </a:ext>
              </a:extLst>
            </xdr:cNvPr>
            <xdr:cNvSpPr>
              <a:spLocks/>
            </xdr:cNvSpPr>
          </xdr:nvSpPr>
          <xdr:spPr bwMode="auto">
            <a:xfrm>
              <a:off x="197" y="256"/>
              <a:ext cx="130" cy="59"/>
            </a:xfrm>
            <a:custGeom>
              <a:avLst/>
              <a:gdLst>
                <a:gd name="T0" fmla="*/ 0 w 130"/>
                <a:gd name="T1" fmla="*/ 0 h 59"/>
                <a:gd name="T2" fmla="*/ 0 w 130"/>
                <a:gd name="T3" fmla="*/ 10 h 59"/>
                <a:gd name="T4" fmla="*/ 0 w 130"/>
                <a:gd name="T5" fmla="*/ 20 h 59"/>
                <a:gd name="T6" fmla="*/ 0 w 130"/>
                <a:gd name="T7" fmla="*/ 30 h 59"/>
                <a:gd name="T8" fmla="*/ 0 w 130"/>
                <a:gd name="T9" fmla="*/ 42 h 59"/>
                <a:gd name="T10" fmla="*/ 0 w 130"/>
                <a:gd name="T11" fmla="*/ 51 h 59"/>
                <a:gd name="T12" fmla="*/ 0 w 130"/>
                <a:gd name="T13" fmla="*/ 59 h 59"/>
                <a:gd name="T14" fmla="*/ 11 w 130"/>
                <a:gd name="T15" fmla="*/ 59 h 59"/>
                <a:gd name="T16" fmla="*/ 22 w 130"/>
                <a:gd name="T17" fmla="*/ 59 h 59"/>
                <a:gd name="T18" fmla="*/ 34 w 130"/>
                <a:gd name="T19" fmla="*/ 59 h 59"/>
                <a:gd name="T20" fmla="*/ 46 w 130"/>
                <a:gd name="T21" fmla="*/ 59 h 59"/>
                <a:gd name="T22" fmla="*/ 60 w 130"/>
                <a:gd name="T23" fmla="*/ 59 h 59"/>
                <a:gd name="T24" fmla="*/ 73 w 130"/>
                <a:gd name="T25" fmla="*/ 59 h 59"/>
                <a:gd name="T26" fmla="*/ 85 w 130"/>
                <a:gd name="T27" fmla="*/ 59 h 59"/>
                <a:gd name="T28" fmla="*/ 99 w 130"/>
                <a:gd name="T29" fmla="*/ 59 h 59"/>
                <a:gd name="T30" fmla="*/ 110 w 130"/>
                <a:gd name="T31" fmla="*/ 59 h 59"/>
                <a:gd name="T32" fmla="*/ 120 w 130"/>
                <a:gd name="T33" fmla="*/ 59 h 59"/>
                <a:gd name="T34" fmla="*/ 130 w 130"/>
                <a:gd name="T35" fmla="*/ 59 h 59"/>
                <a:gd name="T36" fmla="*/ 130 w 130"/>
                <a:gd name="T37" fmla="*/ 51 h 59"/>
                <a:gd name="T38" fmla="*/ 130 w 130"/>
                <a:gd name="T39" fmla="*/ 43 h 59"/>
                <a:gd name="T40" fmla="*/ 130 w 130"/>
                <a:gd name="T41" fmla="*/ 32 h 59"/>
                <a:gd name="T42" fmla="*/ 130 w 130"/>
                <a:gd name="T43" fmla="*/ 20 h 59"/>
                <a:gd name="T44" fmla="*/ 130 w 130"/>
                <a:gd name="T45" fmla="*/ 9 h 59"/>
                <a:gd name="T46" fmla="*/ 130 w 130"/>
                <a:gd name="T47" fmla="*/ 0 h 59"/>
                <a:gd name="T48" fmla="*/ 119 w 130"/>
                <a:gd name="T49" fmla="*/ 0 h 59"/>
                <a:gd name="T50" fmla="*/ 110 w 130"/>
                <a:gd name="T51" fmla="*/ 0 h 59"/>
                <a:gd name="T52" fmla="*/ 99 w 130"/>
                <a:gd name="T53" fmla="*/ 0 h 59"/>
                <a:gd name="T54" fmla="*/ 87 w 130"/>
                <a:gd name="T55" fmla="*/ 0 h 59"/>
                <a:gd name="T56" fmla="*/ 74 w 130"/>
                <a:gd name="T57" fmla="*/ 0 h 59"/>
                <a:gd name="T58" fmla="*/ 59 w 130"/>
                <a:gd name="T59" fmla="*/ 0 h 59"/>
                <a:gd name="T60" fmla="*/ 47 w 130"/>
                <a:gd name="T61" fmla="*/ 0 h 59"/>
                <a:gd name="T62" fmla="*/ 34 w 130"/>
                <a:gd name="T63" fmla="*/ 0 h 59"/>
                <a:gd name="T64" fmla="*/ 23 w 130"/>
                <a:gd name="T65" fmla="*/ 0 h 59"/>
                <a:gd name="T66" fmla="*/ 12 w 130"/>
                <a:gd name="T67" fmla="*/ 0 h 59"/>
                <a:gd name="T68" fmla="*/ 0 w 130"/>
                <a:gd name="T69" fmla="*/ 0 h 59"/>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w 130"/>
                <a:gd name="T106" fmla="*/ 0 h 59"/>
                <a:gd name="T107" fmla="*/ 130 w 130"/>
                <a:gd name="T108" fmla="*/ 59 h 59"/>
              </a:gdLst>
              <a:ahLst/>
              <a:cxnLst>
                <a:cxn ang="T70">
                  <a:pos x="T0" y="T1"/>
                </a:cxn>
                <a:cxn ang="T71">
                  <a:pos x="T2" y="T3"/>
                </a:cxn>
                <a:cxn ang="T72">
                  <a:pos x="T4" y="T5"/>
                </a:cxn>
                <a:cxn ang="T73">
                  <a:pos x="T6" y="T7"/>
                </a:cxn>
                <a:cxn ang="T74">
                  <a:pos x="T8" y="T9"/>
                </a:cxn>
                <a:cxn ang="T75">
                  <a:pos x="T10" y="T11"/>
                </a:cxn>
                <a:cxn ang="T76">
                  <a:pos x="T12" y="T13"/>
                </a:cxn>
                <a:cxn ang="T77">
                  <a:pos x="T14" y="T15"/>
                </a:cxn>
                <a:cxn ang="T78">
                  <a:pos x="T16" y="T17"/>
                </a:cxn>
                <a:cxn ang="T79">
                  <a:pos x="T18" y="T19"/>
                </a:cxn>
                <a:cxn ang="T80">
                  <a:pos x="T20" y="T21"/>
                </a:cxn>
                <a:cxn ang="T81">
                  <a:pos x="T22" y="T23"/>
                </a:cxn>
                <a:cxn ang="T82">
                  <a:pos x="T24" y="T25"/>
                </a:cxn>
                <a:cxn ang="T83">
                  <a:pos x="T26" y="T27"/>
                </a:cxn>
                <a:cxn ang="T84">
                  <a:pos x="T28" y="T29"/>
                </a:cxn>
                <a:cxn ang="T85">
                  <a:pos x="T30" y="T31"/>
                </a:cxn>
                <a:cxn ang="T86">
                  <a:pos x="T32" y="T33"/>
                </a:cxn>
                <a:cxn ang="T87">
                  <a:pos x="T34" y="T35"/>
                </a:cxn>
                <a:cxn ang="T88">
                  <a:pos x="T36" y="T37"/>
                </a:cxn>
                <a:cxn ang="T89">
                  <a:pos x="T38" y="T39"/>
                </a:cxn>
                <a:cxn ang="T90">
                  <a:pos x="T40" y="T41"/>
                </a:cxn>
                <a:cxn ang="T91">
                  <a:pos x="T42" y="T43"/>
                </a:cxn>
                <a:cxn ang="T92">
                  <a:pos x="T44" y="T45"/>
                </a:cxn>
                <a:cxn ang="T93">
                  <a:pos x="T46" y="T47"/>
                </a:cxn>
                <a:cxn ang="T94">
                  <a:pos x="T48" y="T49"/>
                </a:cxn>
                <a:cxn ang="T95">
                  <a:pos x="T50" y="T51"/>
                </a:cxn>
                <a:cxn ang="T96">
                  <a:pos x="T52" y="T53"/>
                </a:cxn>
                <a:cxn ang="T97">
                  <a:pos x="T54" y="T55"/>
                </a:cxn>
                <a:cxn ang="T98">
                  <a:pos x="T56" y="T57"/>
                </a:cxn>
                <a:cxn ang="T99">
                  <a:pos x="T58" y="T59"/>
                </a:cxn>
                <a:cxn ang="T100">
                  <a:pos x="T60" y="T61"/>
                </a:cxn>
                <a:cxn ang="T101">
                  <a:pos x="T62" y="T63"/>
                </a:cxn>
                <a:cxn ang="T102">
                  <a:pos x="T64" y="T65"/>
                </a:cxn>
                <a:cxn ang="T103">
                  <a:pos x="T66" y="T67"/>
                </a:cxn>
                <a:cxn ang="T104">
                  <a:pos x="T68" y="T69"/>
                </a:cxn>
              </a:cxnLst>
              <a:rect l="T105" t="T106" r="T107" b="T108"/>
              <a:pathLst>
                <a:path w="130" h="59">
                  <a:moveTo>
                    <a:pt x="0" y="0"/>
                  </a:moveTo>
                  <a:lnTo>
                    <a:pt x="0" y="10"/>
                  </a:lnTo>
                  <a:lnTo>
                    <a:pt x="0" y="20"/>
                  </a:lnTo>
                  <a:lnTo>
                    <a:pt x="0" y="30"/>
                  </a:lnTo>
                  <a:lnTo>
                    <a:pt x="0" y="42"/>
                  </a:lnTo>
                  <a:lnTo>
                    <a:pt x="0" y="51"/>
                  </a:lnTo>
                  <a:lnTo>
                    <a:pt x="0" y="59"/>
                  </a:lnTo>
                  <a:lnTo>
                    <a:pt x="11" y="59"/>
                  </a:lnTo>
                  <a:lnTo>
                    <a:pt x="22" y="59"/>
                  </a:lnTo>
                  <a:lnTo>
                    <a:pt x="34" y="59"/>
                  </a:lnTo>
                  <a:lnTo>
                    <a:pt x="46" y="59"/>
                  </a:lnTo>
                  <a:lnTo>
                    <a:pt x="60" y="59"/>
                  </a:lnTo>
                  <a:lnTo>
                    <a:pt x="73" y="59"/>
                  </a:lnTo>
                  <a:lnTo>
                    <a:pt x="85" y="59"/>
                  </a:lnTo>
                  <a:lnTo>
                    <a:pt x="99" y="59"/>
                  </a:lnTo>
                  <a:lnTo>
                    <a:pt x="110" y="59"/>
                  </a:lnTo>
                  <a:lnTo>
                    <a:pt x="120" y="59"/>
                  </a:lnTo>
                  <a:lnTo>
                    <a:pt x="130" y="59"/>
                  </a:lnTo>
                  <a:lnTo>
                    <a:pt x="130" y="51"/>
                  </a:lnTo>
                  <a:lnTo>
                    <a:pt x="130" y="43"/>
                  </a:lnTo>
                  <a:lnTo>
                    <a:pt x="130" y="32"/>
                  </a:lnTo>
                  <a:lnTo>
                    <a:pt x="130" y="20"/>
                  </a:lnTo>
                  <a:lnTo>
                    <a:pt x="130" y="9"/>
                  </a:lnTo>
                  <a:lnTo>
                    <a:pt x="130" y="0"/>
                  </a:lnTo>
                  <a:lnTo>
                    <a:pt x="119" y="0"/>
                  </a:lnTo>
                  <a:lnTo>
                    <a:pt x="110" y="0"/>
                  </a:lnTo>
                  <a:lnTo>
                    <a:pt x="99" y="0"/>
                  </a:lnTo>
                  <a:lnTo>
                    <a:pt x="87" y="0"/>
                  </a:lnTo>
                  <a:lnTo>
                    <a:pt x="74" y="0"/>
                  </a:lnTo>
                  <a:lnTo>
                    <a:pt x="59" y="0"/>
                  </a:lnTo>
                  <a:lnTo>
                    <a:pt x="47" y="0"/>
                  </a:lnTo>
                  <a:lnTo>
                    <a:pt x="34" y="0"/>
                  </a:lnTo>
                  <a:lnTo>
                    <a:pt x="23" y="0"/>
                  </a:lnTo>
                  <a:lnTo>
                    <a:pt x="12" y="0"/>
                  </a:lnTo>
                  <a:lnTo>
                    <a:pt x="0" y="0"/>
                  </a:lnTo>
                  <a:close/>
                </a:path>
              </a:pathLst>
            </a:custGeom>
            <a:solidFill>
              <a:srgbClr val="FFFFFF"/>
            </a:solidFill>
            <a:ln w="9525">
              <a:solidFill>
                <a:srgbClr val="000000"/>
              </a:solidFill>
              <a:round/>
              <a:headEnd/>
              <a:tailEnd/>
            </a:ln>
          </xdr:spPr>
        </xdr:sp>
        <xdr:sp macro="" textlink="">
          <xdr:nvSpPr>
            <xdr:cNvPr id="49203" name="Text Box 1761">
              <a:extLst>
                <a:ext uri="{FF2B5EF4-FFF2-40B4-BE49-F238E27FC236}">
                  <a16:creationId xmlns:a16="http://schemas.microsoft.com/office/drawing/2014/main" id="{00000000-0008-0000-0100-000033C00000}"/>
                </a:ext>
              </a:extLst>
            </xdr:cNvPr>
            <xdr:cNvSpPr txBox="1">
              <a:spLocks noChangeArrowheads="1"/>
            </xdr:cNvSpPr>
          </xdr:nvSpPr>
          <xdr:spPr bwMode="auto">
            <a:xfrm>
              <a:off x="202" y="260"/>
              <a:ext cx="121" cy="52"/>
            </a:xfrm>
            <a:prstGeom prst="rect">
              <a:avLst/>
            </a:prstGeom>
            <a:noFill/>
            <a:ln w="9525">
              <a:noFill/>
              <a:miter lim="800000"/>
              <a:headEnd/>
              <a:tailEnd/>
            </a:ln>
          </xdr:spPr>
        </xdr:sp>
      </xdr:grpSp>
      <xdr:sp macro="" textlink="">
        <xdr:nvSpPr>
          <xdr:cNvPr id="52" name="lblLetter">
            <a:extLst>
              <a:ext uri="{FF2B5EF4-FFF2-40B4-BE49-F238E27FC236}">
                <a16:creationId xmlns:a16="http://schemas.microsoft.com/office/drawing/2014/main" id="{00000000-0008-0000-0100-000034000000}"/>
              </a:ext>
            </a:extLst>
          </xdr:cNvPr>
          <xdr:cNvSpPr txBox="1">
            <a:spLocks noChangeArrowheads="1"/>
          </xdr:cNvSpPr>
        </xdr:nvSpPr>
        <xdr:spPr bwMode="auto">
          <a:xfrm>
            <a:off x="430" y="290"/>
            <a:ext cx="13" cy="25"/>
          </a:xfrm>
          <a:prstGeom prst="rect">
            <a:avLst/>
          </a:prstGeom>
          <a:solidFill>
            <a:srgbClr val="FFFFFF"/>
          </a:solidFill>
          <a:ln w="9525">
            <a:solidFill>
              <a:srgbClr val="000000"/>
            </a:solidFill>
            <a:miter lim="800000"/>
            <a:headEnd/>
            <a:tailEnd/>
          </a:ln>
        </xdr:spPr>
        <xdr:txBody>
          <a:bodyPr wrap="none" lIns="18288" tIns="22860" rIns="18288" bIns="22860" anchor="ctr" upright="1">
            <a:spAutoFit/>
          </a:bodyPr>
          <a:lstStyle/>
          <a:p>
            <a:pPr algn="ctr" rtl="0">
              <a:defRPr sz="1000"/>
            </a:pPr>
            <a:r>
              <a:rPr lang="en-US" altLang="zh-CN" sz="1000" b="0" i="0" u="none" strike="noStrike" baseline="0">
                <a:solidFill>
                  <a:srgbClr val="FF0000"/>
                </a:solidFill>
                <a:latin typeface="Arial"/>
                <a:cs typeface="Arial"/>
              </a:rPr>
              <a:t>A</a:t>
            </a:r>
          </a:p>
        </xdr:txBody>
      </xdr:sp>
    </xdr:grpSp>
    <xdr:clientData/>
  </xdr:twoCellAnchor>
  <xdr:twoCellAnchor>
    <xdr:from>
      <xdr:col>12</xdr:col>
      <xdr:colOff>47625</xdr:colOff>
      <xdr:row>1</xdr:row>
      <xdr:rowOff>657225</xdr:rowOff>
    </xdr:from>
    <xdr:to>
      <xdr:col>13</xdr:col>
      <xdr:colOff>552450</xdr:colOff>
      <xdr:row>1</xdr:row>
      <xdr:rowOff>1152525</xdr:rowOff>
    </xdr:to>
    <xdr:sp macro="" textlink="">
      <xdr:nvSpPr>
        <xdr:cNvPr id="49188" name="Text Box 1761">
          <a:extLst>
            <a:ext uri="{FF2B5EF4-FFF2-40B4-BE49-F238E27FC236}">
              <a16:creationId xmlns:a16="http://schemas.microsoft.com/office/drawing/2014/main" id="{00000000-0008-0000-0100-000024C00000}"/>
            </a:ext>
          </a:extLst>
        </xdr:cNvPr>
        <xdr:cNvSpPr txBox="1">
          <a:spLocks noChangeArrowheads="1"/>
        </xdr:cNvSpPr>
      </xdr:nvSpPr>
      <xdr:spPr bwMode="auto">
        <a:xfrm>
          <a:off x="10182225" y="1371600"/>
          <a:ext cx="1114425" cy="495300"/>
        </a:xfrm>
        <a:prstGeom prst="rect">
          <a:avLst/>
        </a:prstGeom>
        <a:noFill/>
        <a:ln w="9525">
          <a:noFill/>
          <a:miter lim="800000"/>
          <a:headEnd/>
          <a:tailEnd/>
        </a:ln>
      </xdr:spPr>
    </xdr:sp>
    <xdr:clientData/>
  </xdr:twoCellAnchor>
  <xdr:twoCellAnchor>
    <xdr:from>
      <xdr:col>1</xdr:col>
      <xdr:colOff>295275</xdr:colOff>
      <xdr:row>6</xdr:row>
      <xdr:rowOff>361950</xdr:rowOff>
    </xdr:from>
    <xdr:to>
      <xdr:col>1</xdr:col>
      <xdr:colOff>1466850</xdr:colOff>
      <xdr:row>6</xdr:row>
      <xdr:rowOff>923925</xdr:rowOff>
    </xdr:to>
    <xdr:grpSp>
      <xdr:nvGrpSpPr>
        <xdr:cNvPr id="49189" name="grpComponent">
          <a:extLst>
            <a:ext uri="{FF2B5EF4-FFF2-40B4-BE49-F238E27FC236}">
              <a16:creationId xmlns:a16="http://schemas.microsoft.com/office/drawing/2014/main" id="{00000000-0008-0000-0100-000025C00000}"/>
            </a:ext>
          </a:extLst>
        </xdr:cNvPr>
        <xdr:cNvGrpSpPr>
          <a:grpSpLocks/>
        </xdr:cNvGrpSpPr>
      </xdr:nvGrpSpPr>
      <xdr:grpSpPr bwMode="auto">
        <a:xfrm>
          <a:off x="1219200" y="7077075"/>
          <a:ext cx="1171575" cy="561975"/>
          <a:chOff x="6217138" y="1933331"/>
          <a:chExt cx="1167423" cy="563196"/>
        </a:xfrm>
      </xdr:grpSpPr>
      <xdr:sp macro="" textlink="">
        <xdr:nvSpPr>
          <xdr:cNvPr id="63" name="blk_outofscope">
            <a:extLst>
              <a:ext uri="{FF2B5EF4-FFF2-40B4-BE49-F238E27FC236}">
                <a16:creationId xmlns:a16="http://schemas.microsoft.com/office/drawing/2014/main" id="{00000000-0008-0000-0100-00003F000000}"/>
              </a:ext>
            </a:extLst>
          </xdr:cNvPr>
          <xdr:cNvSpPr/>
        </xdr:nvSpPr>
        <xdr:spPr>
          <a:xfrm>
            <a:off x="6217138" y="1933331"/>
            <a:ext cx="1167423" cy="563196"/>
          </a:xfrm>
          <a:prstGeom prst="rect">
            <a:avLst/>
          </a:prstGeom>
          <a:solidFill>
            <a:schemeClr val="bg1">
              <a:lumMod val="85000"/>
            </a:schemeClr>
          </a:solidFill>
          <a:ln w="254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252000" rIns="36000" bIns="36000" rtlCol="0" anchor="ctr"/>
          <a:lstStyle/>
          <a:p>
            <a:pPr algn="ctr"/>
            <a:r>
              <a:rPr lang="en-US" altLang="zh-CN">
                <a:solidFill>
                  <a:schemeClr val="tx1"/>
                </a:solidFill>
              </a:rPr>
              <a:t>-</a:t>
            </a:r>
            <a:endParaRPr lang="zh-CN" altLang="en-US">
              <a:solidFill>
                <a:schemeClr val="tx1"/>
              </a:solidFill>
            </a:endParaRPr>
          </a:p>
        </xdr:txBody>
      </xdr:sp>
      <xdr:sp macro="" textlink="">
        <xdr:nvSpPr>
          <xdr:cNvPr id="33147" name="lblLetter">
            <a:extLst>
              <a:ext uri="{FF2B5EF4-FFF2-40B4-BE49-F238E27FC236}">
                <a16:creationId xmlns:a16="http://schemas.microsoft.com/office/drawing/2014/main" id="{00000000-0008-0000-0100-00007B810000}"/>
              </a:ext>
            </a:extLst>
          </xdr:cNvPr>
          <xdr:cNvSpPr>
            <a:spLocks noChangeArrowheads="1"/>
          </xdr:cNvSpPr>
        </xdr:nvSpPr>
        <xdr:spPr bwMode="auto">
          <a:xfrm>
            <a:off x="6217138" y="1933331"/>
            <a:ext cx="559983" cy="200460"/>
          </a:xfrm>
          <a:prstGeom prst="rect">
            <a:avLst/>
          </a:prstGeom>
          <a:noFill/>
          <a:ln w="25400" algn="ctr">
            <a:solidFill>
              <a:srgbClr val="385D8A"/>
            </a:solidFill>
            <a:miter lim="800000"/>
            <a:headEnd/>
            <a:tailEnd/>
          </a:ln>
        </xdr:spPr>
        <xdr:txBody>
          <a:bodyPr vertOverflow="clip" wrap="square" lIns="0" tIns="0" rIns="0" bIns="0" anchor="ctr" upright="1"/>
          <a:lstStyle/>
          <a:p>
            <a:pPr algn="ctr" rtl="1">
              <a:defRPr sz="1000"/>
            </a:pPr>
            <a:r>
              <a:rPr lang="en-US" altLang="zh-CN" sz="1200" b="0" i="0" strike="noStrike">
                <a:solidFill>
                  <a:srgbClr val="FF0000"/>
                </a:solidFill>
                <a:latin typeface="Calibri"/>
              </a:rPr>
              <a:t>L</a:t>
            </a:r>
          </a:p>
        </xdr:txBody>
      </xdr:sp>
    </xdr:grpSp>
    <xdr:clientData/>
  </xdr:twoCellAnchor>
  <xdr:twoCellAnchor>
    <xdr:from>
      <xdr:col>1</xdr:col>
      <xdr:colOff>333375</xdr:colOff>
      <xdr:row>7</xdr:row>
      <xdr:rowOff>180975</xdr:rowOff>
    </xdr:from>
    <xdr:to>
      <xdr:col>1</xdr:col>
      <xdr:colOff>1504950</xdr:colOff>
      <xdr:row>7</xdr:row>
      <xdr:rowOff>733425</xdr:rowOff>
    </xdr:to>
    <xdr:grpSp>
      <xdr:nvGrpSpPr>
        <xdr:cNvPr id="49190" name="grpComponent">
          <a:extLst>
            <a:ext uri="{FF2B5EF4-FFF2-40B4-BE49-F238E27FC236}">
              <a16:creationId xmlns:a16="http://schemas.microsoft.com/office/drawing/2014/main" id="{00000000-0008-0000-0100-000026C00000}"/>
            </a:ext>
          </a:extLst>
        </xdr:cNvPr>
        <xdr:cNvGrpSpPr>
          <a:grpSpLocks/>
        </xdr:cNvGrpSpPr>
      </xdr:nvGrpSpPr>
      <xdr:grpSpPr bwMode="auto">
        <a:xfrm>
          <a:off x="1257300" y="8096250"/>
          <a:ext cx="1171575" cy="552450"/>
          <a:chOff x="2032381" y="6079470"/>
          <a:chExt cx="1172988" cy="556042"/>
        </a:xfrm>
      </xdr:grpSpPr>
      <xdr:sp macro="" textlink="">
        <xdr:nvSpPr>
          <xdr:cNvPr id="65" name="椭圆 64">
            <a:extLst>
              <a:ext uri="{FF2B5EF4-FFF2-40B4-BE49-F238E27FC236}">
                <a16:creationId xmlns:a16="http://schemas.microsoft.com/office/drawing/2014/main" id="{00000000-0008-0000-0100-000041000000}"/>
              </a:ext>
            </a:extLst>
          </xdr:cNvPr>
          <xdr:cNvSpPr/>
        </xdr:nvSpPr>
        <xdr:spPr>
          <a:xfrm>
            <a:off x="2032381" y="6079470"/>
            <a:ext cx="1172988" cy="556042"/>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252000" rIns="36000" bIns="36000" rtlCol="0" anchor="ctr"/>
          <a:lstStyle/>
          <a:p>
            <a:pPr algn="ctr"/>
            <a:r>
              <a:rPr lang="en-US" altLang="zh-CN">
                <a:solidFill>
                  <a:schemeClr val="tx1"/>
                </a:solidFill>
              </a:rPr>
              <a:t>-</a:t>
            </a:r>
            <a:endParaRPr lang="zh-CN" altLang="en-US">
              <a:solidFill>
                <a:schemeClr val="tx1"/>
              </a:solidFill>
            </a:endParaRPr>
          </a:p>
        </xdr:txBody>
      </xdr:sp>
      <xdr:sp macro="" textlink="">
        <xdr:nvSpPr>
          <xdr:cNvPr id="33145" name="lblLetter">
            <a:extLst>
              <a:ext uri="{FF2B5EF4-FFF2-40B4-BE49-F238E27FC236}">
                <a16:creationId xmlns:a16="http://schemas.microsoft.com/office/drawing/2014/main" id="{00000000-0008-0000-0100-000079810000}"/>
              </a:ext>
            </a:extLst>
          </xdr:cNvPr>
          <xdr:cNvSpPr>
            <a:spLocks noChangeArrowheads="1"/>
          </xdr:cNvSpPr>
        </xdr:nvSpPr>
        <xdr:spPr bwMode="auto">
          <a:xfrm>
            <a:off x="2051454" y="6079470"/>
            <a:ext cx="562653" cy="201326"/>
          </a:xfrm>
          <a:prstGeom prst="rect">
            <a:avLst/>
          </a:prstGeom>
          <a:solidFill>
            <a:srgbClr val="FFFFFF"/>
          </a:solidFill>
          <a:ln w="25400" algn="ctr">
            <a:solidFill>
              <a:srgbClr val="385D8A"/>
            </a:solidFill>
            <a:miter lim="800000"/>
            <a:headEnd/>
            <a:tailEnd/>
          </a:ln>
        </xdr:spPr>
        <xdr:txBody>
          <a:bodyPr vertOverflow="clip" wrap="square" lIns="0" tIns="0" rIns="0" bIns="0" anchor="ctr" upright="1"/>
          <a:lstStyle/>
          <a:p>
            <a:pPr algn="ctr" rtl="1">
              <a:defRPr sz="1000"/>
            </a:pPr>
            <a:r>
              <a:rPr lang="en-US" altLang="zh-CN" sz="1200" b="0" i="0" strike="noStrike">
                <a:solidFill>
                  <a:srgbClr val="FF0000"/>
                </a:solidFill>
                <a:latin typeface="Calibri"/>
              </a:rPr>
              <a:t>L</a:t>
            </a:r>
          </a:p>
        </xdr:txBody>
      </xdr:sp>
    </xdr:grpSp>
    <xdr:clientData/>
  </xdr:twoCellAnchor>
  <xdr:twoCellAnchor>
    <xdr:from>
      <xdr:col>1</xdr:col>
      <xdr:colOff>315153</xdr:colOff>
      <xdr:row>8</xdr:row>
      <xdr:rowOff>287407</xdr:rowOff>
    </xdr:from>
    <xdr:to>
      <xdr:col>1</xdr:col>
      <xdr:colOff>1488141</xdr:colOff>
      <xdr:row>8</xdr:row>
      <xdr:rowOff>849382</xdr:rowOff>
    </xdr:to>
    <xdr:sp macro="" textlink="">
      <xdr:nvSpPr>
        <xdr:cNvPr id="69" name="blkPOA">
          <a:extLst>
            <a:ext uri="{FF2B5EF4-FFF2-40B4-BE49-F238E27FC236}">
              <a16:creationId xmlns:a16="http://schemas.microsoft.com/office/drawing/2014/main" id="{00000000-0008-0000-0100-000045000000}"/>
            </a:ext>
          </a:extLst>
        </xdr:cNvPr>
        <xdr:cNvSpPr/>
      </xdr:nvSpPr>
      <xdr:spPr>
        <a:xfrm>
          <a:off x="1235903" y="9447282"/>
          <a:ext cx="1172988" cy="561975"/>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lIns="36000" rIns="36000" bIns="36000" rtlCol="0" anchor="ctr"/>
        <a:lstStyle/>
        <a:p>
          <a:pPr algn="ctr"/>
          <a:r>
            <a:rPr lang="en-US" altLang="zh-CN">
              <a:solidFill>
                <a:schemeClr val="tx1"/>
              </a:solidFill>
            </a:rPr>
            <a:t>-</a:t>
          </a:r>
          <a:endParaRPr lang="zh-CN" altLang="en-US">
            <a:solidFill>
              <a:schemeClr val="tx1"/>
            </a:solidFill>
          </a:endParaRPr>
        </a:p>
      </xdr:txBody>
    </xdr:sp>
    <xdr:clientData/>
  </xdr:twoCellAnchor>
  <xdr:twoCellAnchor>
    <xdr:from>
      <xdr:col>1</xdr:col>
      <xdr:colOff>331482</xdr:colOff>
      <xdr:row>2</xdr:row>
      <xdr:rowOff>441877</xdr:rowOff>
    </xdr:from>
    <xdr:to>
      <xdr:col>1</xdr:col>
      <xdr:colOff>1503057</xdr:colOff>
      <xdr:row>2</xdr:row>
      <xdr:rowOff>1003852</xdr:rowOff>
    </xdr:to>
    <xdr:sp macro="" textlink="">
      <xdr:nvSpPr>
        <xdr:cNvPr id="70" name="矩形 69">
          <a:extLst>
            <a:ext uri="{FF2B5EF4-FFF2-40B4-BE49-F238E27FC236}">
              <a16:creationId xmlns:a16="http://schemas.microsoft.com/office/drawing/2014/main" id="{00000000-0008-0000-0100-000046000000}"/>
            </a:ext>
          </a:extLst>
        </xdr:cNvPr>
        <xdr:cNvSpPr/>
      </xdr:nvSpPr>
      <xdr:spPr bwMode="auto">
        <a:xfrm>
          <a:off x="1256768" y="2360484"/>
          <a:ext cx="1171575" cy="561975"/>
        </a:xfrm>
        <a:prstGeom prst="rect">
          <a:avLst/>
        </a:prstGeom>
        <a:noFill/>
        <a:ln w="254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rIns="36000" bIns="36000" rtlCol="0" anchor="ctr"/>
        <a:lstStyle/>
        <a:p>
          <a:pPr algn="ctr"/>
          <a:r>
            <a:rPr lang="en-US" altLang="zh-CN">
              <a:solidFill>
                <a:schemeClr val="tx1"/>
              </a:solidFill>
            </a:rPr>
            <a:t>-</a:t>
          </a:r>
          <a:endParaRPr lang="zh-CN" altLang="en-US">
            <a:solidFill>
              <a:schemeClr val="tx1"/>
            </a:solidFill>
          </a:endParaRPr>
        </a:p>
      </xdr:txBody>
    </xdr:sp>
    <xdr:clientData/>
  </xdr:twoCellAnchor>
  <xdr:twoCellAnchor>
    <xdr:from>
      <xdr:col>1</xdr:col>
      <xdr:colOff>323850</xdr:colOff>
      <xdr:row>1</xdr:row>
      <xdr:rowOff>266700</xdr:rowOff>
    </xdr:from>
    <xdr:to>
      <xdr:col>1</xdr:col>
      <xdr:colOff>1504950</xdr:colOff>
      <xdr:row>1</xdr:row>
      <xdr:rowOff>828675</xdr:rowOff>
    </xdr:to>
    <xdr:grpSp>
      <xdr:nvGrpSpPr>
        <xdr:cNvPr id="49193" name="grpComponent">
          <a:extLst>
            <a:ext uri="{FF2B5EF4-FFF2-40B4-BE49-F238E27FC236}">
              <a16:creationId xmlns:a16="http://schemas.microsoft.com/office/drawing/2014/main" id="{00000000-0008-0000-0100-000029C00000}"/>
            </a:ext>
          </a:extLst>
        </xdr:cNvPr>
        <xdr:cNvGrpSpPr>
          <a:grpSpLocks/>
        </xdr:cNvGrpSpPr>
      </xdr:nvGrpSpPr>
      <xdr:grpSpPr bwMode="auto">
        <a:xfrm>
          <a:off x="1247775" y="981075"/>
          <a:ext cx="1181100" cy="561975"/>
          <a:chOff x="6217138" y="1933331"/>
          <a:chExt cx="1167423" cy="563196"/>
        </a:xfrm>
      </xdr:grpSpPr>
      <xdr:sp macro="" textlink="">
        <xdr:nvSpPr>
          <xdr:cNvPr id="68" name="矩形 67">
            <a:extLst>
              <a:ext uri="{FF2B5EF4-FFF2-40B4-BE49-F238E27FC236}">
                <a16:creationId xmlns:a16="http://schemas.microsoft.com/office/drawing/2014/main" id="{00000000-0008-0000-0100-000044000000}"/>
              </a:ext>
            </a:extLst>
          </xdr:cNvPr>
          <xdr:cNvSpPr/>
        </xdr:nvSpPr>
        <xdr:spPr>
          <a:xfrm>
            <a:off x="6217138" y="1933331"/>
            <a:ext cx="1167423" cy="563196"/>
          </a:xfrm>
          <a:prstGeom prst="rect">
            <a:avLst/>
          </a:prstGeom>
          <a:noFill/>
          <a:ln w="254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252000" rIns="36000" bIns="36000" rtlCol="0" anchor="ctr" anchorCtr="0"/>
          <a:lstStyle/>
          <a:p>
            <a:pPr algn="ctr"/>
            <a:r>
              <a:rPr lang="en-US" altLang="zh-CN">
                <a:solidFill>
                  <a:schemeClr val="tx1"/>
                </a:solidFill>
              </a:rPr>
              <a:t>-</a:t>
            </a:r>
            <a:endParaRPr lang="zh-CN" altLang="en-US">
              <a:solidFill>
                <a:schemeClr val="tx1"/>
              </a:solidFill>
            </a:endParaRPr>
          </a:p>
        </xdr:txBody>
      </xdr:sp>
      <xdr:sp macro="" textlink="">
        <xdr:nvSpPr>
          <xdr:cNvPr id="33143" name="lblLetter">
            <a:extLst>
              <a:ext uri="{FF2B5EF4-FFF2-40B4-BE49-F238E27FC236}">
                <a16:creationId xmlns:a16="http://schemas.microsoft.com/office/drawing/2014/main" id="{00000000-0008-0000-0100-000077810000}"/>
              </a:ext>
            </a:extLst>
          </xdr:cNvPr>
          <xdr:cNvSpPr>
            <a:spLocks noChangeArrowheads="1"/>
          </xdr:cNvSpPr>
        </xdr:nvSpPr>
        <xdr:spPr bwMode="auto">
          <a:xfrm>
            <a:off x="6217138" y="1933331"/>
            <a:ext cx="555467" cy="200460"/>
          </a:xfrm>
          <a:prstGeom prst="rect">
            <a:avLst/>
          </a:prstGeom>
          <a:noFill/>
          <a:ln w="25400" algn="ctr">
            <a:solidFill>
              <a:srgbClr val="385D8A"/>
            </a:solidFill>
            <a:miter lim="800000"/>
            <a:headEnd/>
            <a:tailEnd/>
          </a:ln>
        </xdr:spPr>
        <xdr:txBody>
          <a:bodyPr vertOverflow="clip" wrap="square" lIns="0" tIns="0" rIns="0" bIns="0" anchor="ctr" upright="1"/>
          <a:lstStyle/>
          <a:p>
            <a:pPr algn="ctr" rtl="1">
              <a:defRPr sz="1000"/>
            </a:pPr>
            <a:r>
              <a:rPr lang="en-US" altLang="zh-CN" sz="1200" b="0" i="0" strike="noStrike">
                <a:solidFill>
                  <a:srgbClr val="FF0000"/>
                </a:solidFill>
                <a:latin typeface="Calibri"/>
              </a:rPr>
              <a:t>L</a:t>
            </a:r>
          </a:p>
        </xdr:txBody>
      </xdr:sp>
    </xdr:grp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0</xdr:colOff>
          <xdr:row>1</xdr:row>
          <xdr:rowOff>88900</xdr:rowOff>
        </xdr:from>
        <xdr:to>
          <xdr:col>1</xdr:col>
          <xdr:colOff>393700</xdr:colOff>
          <xdr:row>2</xdr:row>
          <xdr:rowOff>114300</xdr:rowOff>
        </xdr:to>
        <xdr:sp macro="" textlink="">
          <xdr:nvSpPr>
            <xdr:cNvPr id="8193" name="chkNumber" hidden="1">
              <a:extLst>
                <a:ext uri="{63B3BB69-23CF-44E3-9099-C40C66FF867C}">
                  <a14:compatExt spid="_x0000_s8193"/>
                </a:ext>
                <a:ext uri="{FF2B5EF4-FFF2-40B4-BE49-F238E27FC236}">
                  <a16:creationId xmlns:a16="http://schemas.microsoft.com/office/drawing/2014/main" id="{00000000-0008-0000-02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zh-CN" altLang="en-US" sz="800" b="0" i="0" u="none" strike="noStrike" baseline="0">
                  <a:solidFill>
                    <a:srgbClr val="000000"/>
                  </a:solidFill>
                  <a:latin typeface="Tahoma"/>
                  <a:cs typeface="Tahoma"/>
                </a:rPr>
                <a:t>AutoNumber</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0</xdr:colOff>
          <xdr:row>1</xdr:row>
          <xdr:rowOff>107950</xdr:rowOff>
        </xdr:from>
        <xdr:to>
          <xdr:col>1</xdr:col>
          <xdr:colOff>393700</xdr:colOff>
          <xdr:row>3</xdr:row>
          <xdr:rowOff>12700</xdr:rowOff>
        </xdr:to>
        <xdr:sp macro="" textlink="">
          <xdr:nvSpPr>
            <xdr:cNvPr id="9217" name="chkNumber" hidden="1">
              <a:extLst>
                <a:ext uri="{63B3BB69-23CF-44E3-9099-C40C66FF867C}">
                  <a14:compatExt spid="_x0000_s9217"/>
                </a:ext>
                <a:ext uri="{FF2B5EF4-FFF2-40B4-BE49-F238E27FC236}">
                  <a16:creationId xmlns:a16="http://schemas.microsoft.com/office/drawing/2014/main" id="{00000000-0008-0000-03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zh-CN" altLang="en-US" sz="800" b="0" i="0" u="none" strike="noStrike" baseline="0">
                  <a:solidFill>
                    <a:srgbClr val="000000"/>
                  </a:solidFill>
                  <a:latin typeface="Tahoma"/>
                  <a:cs typeface="Tahoma"/>
                </a:rPr>
                <a:t>AutoNumber</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418353</xdr:colOff>
      <xdr:row>0</xdr:row>
      <xdr:rowOff>82177</xdr:rowOff>
    </xdr:from>
    <xdr:to>
      <xdr:col>2</xdr:col>
      <xdr:colOff>176003</xdr:colOff>
      <xdr:row>2</xdr:row>
      <xdr:rowOff>291904</xdr:rowOff>
    </xdr:to>
    <xdr:pic>
      <xdr:nvPicPr>
        <xdr:cNvPr id="4" name="图片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8353" y="82177"/>
          <a:ext cx="1020179" cy="97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268941</xdr:colOff>
      <xdr:row>0</xdr:row>
      <xdr:rowOff>149412</xdr:rowOff>
    </xdr:from>
    <xdr:to>
      <xdr:col>1</xdr:col>
      <xdr:colOff>885708</xdr:colOff>
      <xdr:row>2</xdr:row>
      <xdr:rowOff>291904</xdr:rowOff>
    </xdr:to>
    <xdr:pic>
      <xdr:nvPicPr>
        <xdr:cNvPr id="4" name="图片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8941" y="149412"/>
          <a:ext cx="1020179" cy="97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586345</xdr:colOff>
      <xdr:row>0</xdr:row>
      <xdr:rowOff>81643</xdr:rowOff>
    </xdr:from>
    <xdr:to>
      <xdr:col>2</xdr:col>
      <xdr:colOff>980595</xdr:colOff>
      <xdr:row>2</xdr:row>
      <xdr:rowOff>335127</xdr:rowOff>
    </xdr:to>
    <xdr:pic>
      <xdr:nvPicPr>
        <xdr:cNvPr id="8" name="图片 7">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163" y="81643"/>
          <a:ext cx="1017705" cy="9693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577273</xdr:colOff>
      <xdr:row>27</xdr:row>
      <xdr:rowOff>80819</xdr:rowOff>
    </xdr:from>
    <xdr:to>
      <xdr:col>2</xdr:col>
      <xdr:colOff>971523</xdr:colOff>
      <xdr:row>29</xdr:row>
      <xdr:rowOff>380485</xdr:rowOff>
    </xdr:to>
    <xdr:pic>
      <xdr:nvPicPr>
        <xdr:cNvPr id="13" name="图片 12">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9091" y="18264910"/>
          <a:ext cx="1017705" cy="9693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586345</xdr:colOff>
      <xdr:row>27</xdr:row>
      <xdr:rowOff>81643</xdr:rowOff>
    </xdr:from>
    <xdr:ext cx="1017705" cy="969302"/>
    <xdr:pic>
      <xdr:nvPicPr>
        <xdr:cNvPr id="16" name="图片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163" y="81643"/>
          <a:ext cx="1017705" cy="9693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577273</xdr:colOff>
      <xdr:row>12</xdr:row>
      <xdr:rowOff>80819</xdr:rowOff>
    </xdr:from>
    <xdr:ext cx="1017705" cy="969302"/>
    <xdr:pic>
      <xdr:nvPicPr>
        <xdr:cNvPr id="17" name="图片 16">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9091" y="18264910"/>
          <a:ext cx="1017705" cy="9693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586345</xdr:colOff>
      <xdr:row>12</xdr:row>
      <xdr:rowOff>81643</xdr:rowOff>
    </xdr:from>
    <xdr:ext cx="1017705" cy="969302"/>
    <xdr:pic>
      <xdr:nvPicPr>
        <xdr:cNvPr id="18" name="图片 17">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163" y="18265734"/>
          <a:ext cx="1017705" cy="9693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577273</xdr:colOff>
      <xdr:row>40</xdr:row>
      <xdr:rowOff>80819</xdr:rowOff>
    </xdr:from>
    <xdr:ext cx="1029250" cy="966416"/>
    <xdr:pic>
      <xdr:nvPicPr>
        <xdr:cNvPr id="19" name="图片 18">
          <a:extLst>
            <a:ext uri="{FF2B5EF4-FFF2-40B4-BE49-F238E27FC236}">
              <a16:creationId xmlns:a16="http://schemas.microsoft.com/office/drawing/2014/main" id="{00000000-0008-0000-06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648" y="18051319"/>
          <a:ext cx="1029250" cy="9664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586345</xdr:colOff>
      <xdr:row>40</xdr:row>
      <xdr:rowOff>81643</xdr:rowOff>
    </xdr:from>
    <xdr:ext cx="1017705" cy="969302"/>
    <xdr:pic>
      <xdr:nvPicPr>
        <xdr:cNvPr id="20" name="图片 19">
          <a:extLst>
            <a:ext uri="{FF2B5EF4-FFF2-40B4-BE49-F238E27FC236}">
              <a16:creationId xmlns:a16="http://schemas.microsoft.com/office/drawing/2014/main" id="{00000000-0008-0000-06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6720" y="18052143"/>
          <a:ext cx="1017705" cy="9693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208645</xdr:colOff>
      <xdr:row>0</xdr:row>
      <xdr:rowOff>72571</xdr:rowOff>
    </xdr:from>
    <xdr:ext cx="870856" cy="829438"/>
    <xdr:pic>
      <xdr:nvPicPr>
        <xdr:cNvPr id="19" name="图片 18">
          <a:extLst>
            <a:ext uri="{FF2B5EF4-FFF2-40B4-BE49-F238E27FC236}">
              <a16:creationId xmlns:a16="http://schemas.microsoft.com/office/drawing/2014/main" id="{00000000-0008-0000-07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72571"/>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7</xdr:row>
      <xdr:rowOff>72571</xdr:rowOff>
    </xdr:from>
    <xdr:ext cx="870856" cy="829438"/>
    <xdr:pic>
      <xdr:nvPicPr>
        <xdr:cNvPr id="21" name="图片 20">
          <a:extLst>
            <a:ext uri="{FF2B5EF4-FFF2-40B4-BE49-F238E27FC236}">
              <a16:creationId xmlns:a16="http://schemas.microsoft.com/office/drawing/2014/main" id="{00000000-0008-0000-07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72571"/>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15</xdr:row>
      <xdr:rowOff>72571</xdr:rowOff>
    </xdr:from>
    <xdr:ext cx="870856" cy="829438"/>
    <xdr:pic>
      <xdr:nvPicPr>
        <xdr:cNvPr id="22" name="图片 21">
          <a:extLst>
            <a:ext uri="{FF2B5EF4-FFF2-40B4-BE49-F238E27FC236}">
              <a16:creationId xmlns:a16="http://schemas.microsoft.com/office/drawing/2014/main" id="{00000000-0008-0000-07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72571"/>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22</xdr:row>
      <xdr:rowOff>72571</xdr:rowOff>
    </xdr:from>
    <xdr:ext cx="870856" cy="829438"/>
    <xdr:pic>
      <xdr:nvPicPr>
        <xdr:cNvPr id="23" name="图片 22">
          <a:extLst>
            <a:ext uri="{FF2B5EF4-FFF2-40B4-BE49-F238E27FC236}">
              <a16:creationId xmlns:a16="http://schemas.microsoft.com/office/drawing/2014/main" id="{00000000-0008-0000-07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72571"/>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33</xdr:row>
      <xdr:rowOff>72571</xdr:rowOff>
    </xdr:from>
    <xdr:ext cx="870856" cy="829438"/>
    <xdr:pic>
      <xdr:nvPicPr>
        <xdr:cNvPr id="24" name="图片 23">
          <a:extLst>
            <a:ext uri="{FF2B5EF4-FFF2-40B4-BE49-F238E27FC236}">
              <a16:creationId xmlns:a16="http://schemas.microsoft.com/office/drawing/2014/main" id="{00000000-0008-0000-07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72571"/>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42</xdr:row>
      <xdr:rowOff>72571</xdr:rowOff>
    </xdr:from>
    <xdr:ext cx="870856" cy="829438"/>
    <xdr:pic>
      <xdr:nvPicPr>
        <xdr:cNvPr id="25" name="图片 24">
          <a:extLst>
            <a:ext uri="{FF2B5EF4-FFF2-40B4-BE49-F238E27FC236}">
              <a16:creationId xmlns:a16="http://schemas.microsoft.com/office/drawing/2014/main" id="{00000000-0008-0000-07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72571"/>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55</xdr:row>
      <xdr:rowOff>72571</xdr:rowOff>
    </xdr:from>
    <xdr:ext cx="870856" cy="829438"/>
    <xdr:pic>
      <xdr:nvPicPr>
        <xdr:cNvPr id="26" name="图片 25">
          <a:extLst>
            <a:ext uri="{FF2B5EF4-FFF2-40B4-BE49-F238E27FC236}">
              <a16:creationId xmlns:a16="http://schemas.microsoft.com/office/drawing/2014/main" id="{00000000-0008-0000-07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72571"/>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42</xdr:row>
      <xdr:rowOff>72571</xdr:rowOff>
    </xdr:from>
    <xdr:ext cx="870856" cy="829438"/>
    <xdr:pic>
      <xdr:nvPicPr>
        <xdr:cNvPr id="28" name="图片 27">
          <a:extLst>
            <a:ext uri="{FF2B5EF4-FFF2-40B4-BE49-F238E27FC236}">
              <a16:creationId xmlns:a16="http://schemas.microsoft.com/office/drawing/2014/main" id="{00000000-0008-0000-07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29686662"/>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55</xdr:row>
      <xdr:rowOff>72571</xdr:rowOff>
    </xdr:from>
    <xdr:ext cx="870856" cy="829438"/>
    <xdr:pic>
      <xdr:nvPicPr>
        <xdr:cNvPr id="29" name="图片 28">
          <a:extLst>
            <a:ext uri="{FF2B5EF4-FFF2-40B4-BE49-F238E27FC236}">
              <a16:creationId xmlns:a16="http://schemas.microsoft.com/office/drawing/2014/main" id="{00000000-0008-0000-07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39846662"/>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55</xdr:row>
      <xdr:rowOff>72571</xdr:rowOff>
    </xdr:from>
    <xdr:ext cx="870856" cy="829438"/>
    <xdr:pic>
      <xdr:nvPicPr>
        <xdr:cNvPr id="30" name="图片 29">
          <a:extLst>
            <a:ext uri="{FF2B5EF4-FFF2-40B4-BE49-F238E27FC236}">
              <a16:creationId xmlns:a16="http://schemas.microsoft.com/office/drawing/2014/main" id="{00000000-0008-0000-07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39846662"/>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63</xdr:row>
      <xdr:rowOff>72571</xdr:rowOff>
    </xdr:from>
    <xdr:ext cx="870856" cy="829438"/>
    <xdr:pic>
      <xdr:nvPicPr>
        <xdr:cNvPr id="31" name="图片 30">
          <a:extLst>
            <a:ext uri="{FF2B5EF4-FFF2-40B4-BE49-F238E27FC236}">
              <a16:creationId xmlns:a16="http://schemas.microsoft.com/office/drawing/2014/main" id="{00000000-0008-0000-07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46284696"/>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63</xdr:row>
      <xdr:rowOff>72571</xdr:rowOff>
    </xdr:from>
    <xdr:ext cx="870856" cy="829438"/>
    <xdr:pic>
      <xdr:nvPicPr>
        <xdr:cNvPr id="32" name="图片 31">
          <a:extLst>
            <a:ext uri="{FF2B5EF4-FFF2-40B4-BE49-F238E27FC236}">
              <a16:creationId xmlns:a16="http://schemas.microsoft.com/office/drawing/2014/main" id="{00000000-0008-0000-07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46284696"/>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208645</xdr:colOff>
      <xdr:row>63</xdr:row>
      <xdr:rowOff>72571</xdr:rowOff>
    </xdr:from>
    <xdr:ext cx="870856" cy="829438"/>
    <xdr:pic>
      <xdr:nvPicPr>
        <xdr:cNvPr id="33" name="图片 32">
          <a:extLst>
            <a:ext uri="{FF2B5EF4-FFF2-40B4-BE49-F238E27FC236}">
              <a16:creationId xmlns:a16="http://schemas.microsoft.com/office/drawing/2014/main" id="{00000000-0008-0000-07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645" y="46284696"/>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7470</xdr:colOff>
      <xdr:row>0</xdr:row>
      <xdr:rowOff>194236</xdr:rowOff>
    </xdr:from>
    <xdr:ext cx="870856" cy="829438"/>
    <xdr:pic>
      <xdr:nvPicPr>
        <xdr:cNvPr id="4" name="图片 3">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058" y="194236"/>
          <a:ext cx="870856" cy="82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4</xdr:col>
      <xdr:colOff>323850</xdr:colOff>
      <xdr:row>2</xdr:row>
      <xdr:rowOff>114300</xdr:rowOff>
    </xdr:to>
    <xdr:sp macro="" textlink="">
      <xdr:nvSpPr>
        <xdr:cNvPr id="10241" name="Text Box 1">
          <a:extLst>
            <a:ext uri="{FF2B5EF4-FFF2-40B4-BE49-F238E27FC236}">
              <a16:creationId xmlns:a16="http://schemas.microsoft.com/office/drawing/2014/main" id="{00000000-0008-0000-0900-000001280000}"/>
            </a:ext>
          </a:extLst>
        </xdr:cNvPr>
        <xdr:cNvSpPr txBox="1">
          <a:spLocks noChangeArrowheads="1"/>
        </xdr:cNvSpPr>
      </xdr:nvSpPr>
      <xdr:spPr bwMode="auto">
        <a:xfrm>
          <a:off x="0" y="38100"/>
          <a:ext cx="4248150" cy="733425"/>
        </a:xfrm>
        <a:prstGeom prst="rect">
          <a:avLst/>
        </a:prstGeom>
        <a:noFill/>
        <a:ln w="9525">
          <a:noFill/>
          <a:miter lim="800000"/>
          <a:headEnd/>
          <a:tailEnd/>
        </a:ln>
      </xdr:spPr>
      <xdr:txBody>
        <a:bodyPr vertOverflow="clip" wrap="square" lIns="27432" tIns="22860" rIns="0" bIns="0" anchor="t" upright="1"/>
        <a:lstStyle/>
        <a:p>
          <a:pPr algn="l" rtl="0">
            <a:defRPr sz="1000"/>
          </a:pPr>
          <a:r>
            <a:rPr lang="en-US" altLang="zh-CN" sz="800" b="1" i="0" u="none" strike="noStrike" baseline="0">
              <a:solidFill>
                <a:srgbClr val="000000"/>
              </a:solidFill>
              <a:latin typeface="Arial"/>
              <a:cs typeface="Arial"/>
            </a:rPr>
            <a:t>The purpose of this sheet: (a) identification of all components/features and interfaces for which the DE is design responsible so that these may be included in the Interface Function Matrix and/or column c in DRBFM.  </a:t>
          </a:r>
        </a:p>
        <a:p>
          <a:pPr algn="l" rtl="0">
            <a:defRPr sz="1000"/>
          </a:pPr>
          <a:r>
            <a:rPr lang="en-US" altLang="zh-CN" sz="800" b="1" i="0" u="none" strike="noStrike" baseline="0">
              <a:solidFill>
                <a:srgbClr val="000000"/>
              </a:solidFill>
              <a:latin typeface="Arial"/>
              <a:cs typeface="Arial"/>
            </a:rPr>
            <a:t>(b) identification of changes to design relative to previous design solution.   The foundation of the information is directly from the VPPS web site.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d-17055\luo\DOCUME~1\sz3nfp\LOCALS~1\Temp\notesBAAA25\DOCUME~1\sz3nfp\LOCALS~1\Temp\C.Program%20Files.Lotus.Notes.Data\DFMEA-DRBFM-Workbook-2.32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ock Diagram"/>
      <sheetName val="Team"/>
      <sheetName val="Notes"/>
      <sheetName val="Block"/>
      <sheetName val="Code File Info"/>
      <sheetName val="Enable Macros"/>
      <sheetName val="I'Face Matrix"/>
      <sheetName val="DFMEA-DRBFM"/>
      <sheetName val="Research"/>
      <sheetName val="Definition of Change Point's"/>
      <sheetName val="Process Quality Guide"/>
      <sheetName val="Inputs"/>
      <sheetName val="Outputs"/>
      <sheetName val="Hardware Design Worksheet"/>
      <sheetName val="Validation section of design WS"/>
      <sheetName val="Scales"/>
      <sheetName val="Internet Explorer"/>
      <sheetName val="Addendum"/>
      <sheetName val="TOC"/>
      <sheetName val="CribSheet"/>
      <sheetName val="Algorithm Cribsheet"/>
      <sheetName val="Change Decision Tree"/>
      <sheetName val="Material Change"/>
      <sheetName val="Mechanism Change"/>
      <sheetName val="Electrical Hdwr Change"/>
      <sheetName val="Cal.-Software Change"/>
      <sheetName val="Packaging Change"/>
      <sheetName val="Doc Guidelines"/>
      <sheetName val="JudgmentWords"/>
      <sheetName val="Version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OCO"/>
  <dimension ref="A1:I100"/>
  <sheetViews>
    <sheetView workbookViewId="0">
      <pane ySplit="1" topLeftCell="A2" activePane="bottomLeft" state="frozen"/>
      <selection pane="bottomLeft" activeCell="D4" sqref="D4"/>
    </sheetView>
  </sheetViews>
  <sheetFormatPr defaultColWidth="9.1796875" defaultRowHeight="12.5"/>
  <cols>
    <col min="1" max="1" width="11.26953125" style="10" customWidth="1"/>
    <col min="2" max="2" width="11.1796875" style="7" customWidth="1"/>
    <col min="3" max="3" width="21.54296875" style="9" customWidth="1"/>
    <col min="4" max="4" width="37.453125" style="9" customWidth="1"/>
    <col min="5" max="16384" width="9.1796875" style="9"/>
  </cols>
  <sheetData>
    <row r="1" spans="1:9" s="5" customFormat="1" ht="45.75" customHeight="1">
      <c r="A1" s="3" t="s">
        <v>16</v>
      </c>
      <c r="B1" s="4" t="s">
        <v>17</v>
      </c>
      <c r="C1" s="5" t="s">
        <v>18</v>
      </c>
      <c r="D1" s="5" t="s">
        <v>19</v>
      </c>
      <c r="H1" s="13" t="s">
        <v>20</v>
      </c>
      <c r="I1" s="13"/>
    </row>
    <row r="2" spans="1:9">
      <c r="A2" s="6">
        <v>39780</v>
      </c>
      <c r="B2" s="7">
        <v>1</v>
      </c>
      <c r="C2" s="8"/>
      <c r="D2" s="8"/>
      <c r="H2"/>
      <c r="I2"/>
    </row>
    <row r="3" spans="1:9">
      <c r="C3" s="8"/>
      <c r="D3" s="8"/>
      <c r="H3"/>
      <c r="I3"/>
    </row>
    <row r="4" spans="1:9">
      <c r="C4" s="8"/>
      <c r="D4" s="8"/>
    </row>
    <row r="5" spans="1:9">
      <c r="C5" s="8"/>
      <c r="D5" s="8"/>
    </row>
    <row r="6" spans="1:9">
      <c r="B6" s="11"/>
      <c r="C6" s="8"/>
      <c r="D6" s="8"/>
    </row>
    <row r="7" spans="1:9">
      <c r="C7" s="8"/>
      <c r="D7" s="8"/>
    </row>
    <row r="8" spans="1:9">
      <c r="C8" s="8"/>
      <c r="D8" s="8"/>
    </row>
    <row r="9" spans="1:9">
      <c r="B9" s="11"/>
      <c r="C9" s="8"/>
      <c r="D9" s="8"/>
    </row>
    <row r="10" spans="1:9">
      <c r="C10" s="8"/>
      <c r="D10" s="8"/>
    </row>
    <row r="11" spans="1:9">
      <c r="C11" s="8"/>
      <c r="D11" s="8"/>
    </row>
    <row r="12" spans="1:9">
      <c r="C12" s="8"/>
      <c r="D12" s="8"/>
    </row>
    <row r="13" spans="1:9">
      <c r="B13" s="12"/>
      <c r="C13" s="8"/>
      <c r="D13" s="8"/>
    </row>
    <row r="14" spans="1:9">
      <c r="C14" s="8"/>
      <c r="D14" s="8"/>
    </row>
    <row r="15" spans="1:9">
      <c r="C15" s="8"/>
      <c r="D15" s="8"/>
    </row>
    <row r="16" spans="1:9">
      <c r="C16" s="8"/>
      <c r="D16" s="8"/>
    </row>
    <row r="17" spans="2:5">
      <c r="C17" s="8"/>
      <c r="D17" s="8"/>
    </row>
    <row r="18" spans="2:5">
      <c r="C18" s="8"/>
      <c r="D18" s="8"/>
    </row>
    <row r="19" spans="2:5">
      <c r="C19" s="8"/>
      <c r="D19" s="8"/>
    </row>
    <row r="20" spans="2:5">
      <c r="C20" s="8"/>
      <c r="D20" s="8"/>
    </row>
    <row r="21" spans="2:5">
      <c r="C21" s="8"/>
      <c r="D21" s="8"/>
    </row>
    <row r="22" spans="2:5">
      <c r="B22" s="11"/>
      <c r="C22" s="8"/>
      <c r="D22" s="8"/>
      <c r="E22" s="8"/>
    </row>
    <row r="23" spans="2:5">
      <c r="B23" s="11"/>
      <c r="C23" s="8"/>
      <c r="D23" s="8"/>
    </row>
    <row r="24" spans="2:5">
      <c r="B24" s="11"/>
      <c r="C24" s="8"/>
      <c r="D24" s="8"/>
    </row>
    <row r="25" spans="2:5">
      <c r="C25" s="8"/>
      <c r="D25" s="8"/>
    </row>
    <row r="26" spans="2:5">
      <c r="B26" s="11"/>
      <c r="C26" s="8"/>
      <c r="D26" s="8"/>
    </row>
    <row r="27" spans="2:5">
      <c r="B27" s="11"/>
      <c r="C27" s="8"/>
      <c r="D27" s="8"/>
    </row>
    <row r="28" spans="2:5">
      <c r="B28" s="11"/>
      <c r="C28" s="8"/>
      <c r="D28" s="8"/>
    </row>
    <row r="29" spans="2:5">
      <c r="B29" s="102"/>
      <c r="C29" s="8"/>
      <c r="D29" s="8"/>
    </row>
    <row r="30" spans="2:5">
      <c r="B30" s="11"/>
      <c r="C30" s="8"/>
      <c r="D30" s="8"/>
    </row>
    <row r="31" spans="2:5">
      <c r="B31" s="11"/>
      <c r="C31" s="8"/>
      <c r="D31" s="8"/>
    </row>
    <row r="32" spans="2:5">
      <c r="B32" s="11"/>
      <c r="C32" s="8"/>
      <c r="D32" s="8"/>
    </row>
    <row r="33" spans="2:4">
      <c r="B33" s="11"/>
      <c r="C33" s="8"/>
      <c r="D33" s="8"/>
    </row>
    <row r="34" spans="2:4">
      <c r="B34" s="11"/>
      <c r="C34" s="8"/>
      <c r="D34" s="8"/>
    </row>
    <row r="35" spans="2:4">
      <c r="B35" s="11"/>
      <c r="C35" s="8"/>
      <c r="D35" s="8"/>
    </row>
    <row r="36" spans="2:4">
      <c r="C36" s="8"/>
      <c r="D36" s="8"/>
    </row>
    <row r="37" spans="2:4">
      <c r="B37" s="11"/>
      <c r="C37" s="8"/>
      <c r="D37" s="8"/>
    </row>
    <row r="38" spans="2:4">
      <c r="B38" s="11"/>
      <c r="C38" s="8"/>
      <c r="D38" s="8"/>
    </row>
    <row r="39" spans="2:4">
      <c r="B39" s="11"/>
      <c r="C39" s="8"/>
      <c r="D39" s="8"/>
    </row>
    <row r="40" spans="2:4">
      <c r="B40" s="11"/>
      <c r="C40" s="8"/>
      <c r="D40" s="8"/>
    </row>
    <row r="41" spans="2:4">
      <c r="B41" s="11"/>
      <c r="C41" s="8"/>
      <c r="D41" s="8"/>
    </row>
    <row r="42" spans="2:4">
      <c r="B42" s="11"/>
      <c r="C42" s="8"/>
      <c r="D42" s="8"/>
    </row>
    <row r="43" spans="2:4">
      <c r="B43" s="11"/>
      <c r="C43" s="8"/>
      <c r="D43" s="8"/>
    </row>
    <row r="44" spans="2:4">
      <c r="B44" s="11"/>
      <c r="C44" s="8"/>
      <c r="D44" s="8"/>
    </row>
    <row r="45" spans="2:4">
      <c r="C45" s="8"/>
      <c r="D45" s="8"/>
    </row>
    <row r="46" spans="2:4">
      <c r="B46" s="11"/>
      <c r="C46" s="8"/>
      <c r="D46" s="8"/>
    </row>
    <row r="47" spans="2:4">
      <c r="B47" s="11"/>
      <c r="C47" s="8"/>
      <c r="D47" s="8"/>
    </row>
    <row r="48" spans="2:4">
      <c r="B48" s="11"/>
      <c r="C48" s="8"/>
      <c r="D48" s="8"/>
    </row>
    <row r="49" spans="2:4">
      <c r="C49" s="8"/>
      <c r="D49" s="8"/>
    </row>
    <row r="50" spans="2:4">
      <c r="B50" s="11"/>
      <c r="C50" s="8"/>
      <c r="D50" s="8"/>
    </row>
    <row r="51" spans="2:4">
      <c r="B51" s="11"/>
      <c r="C51" s="8"/>
      <c r="D51" s="8"/>
    </row>
    <row r="52" spans="2:4">
      <c r="B52" s="11"/>
      <c r="C52" s="8"/>
      <c r="D52" s="8"/>
    </row>
    <row r="53" spans="2:4">
      <c r="B53" s="11"/>
      <c r="C53" s="8"/>
      <c r="D53" s="8"/>
    </row>
    <row r="54" spans="2:4">
      <c r="B54" s="11"/>
      <c r="C54" s="8"/>
      <c r="D54" s="8"/>
    </row>
    <row r="55" spans="2:4">
      <c r="B55" s="11"/>
      <c r="C55" s="8"/>
      <c r="D55" s="8"/>
    </row>
    <row r="56" spans="2:4">
      <c r="C56" s="8"/>
      <c r="D56" s="8"/>
    </row>
    <row r="57" spans="2:4">
      <c r="B57" s="11"/>
      <c r="C57" s="8"/>
      <c r="D57" s="8"/>
    </row>
    <row r="58" spans="2:4">
      <c r="B58" s="11"/>
      <c r="C58" s="8"/>
      <c r="D58" s="8"/>
    </row>
    <row r="59" spans="2:4">
      <c r="B59" s="11"/>
      <c r="C59" s="8"/>
      <c r="D59" s="8"/>
    </row>
    <row r="60" spans="2:4">
      <c r="B60" s="11"/>
      <c r="C60" s="8"/>
      <c r="D60" s="8"/>
    </row>
    <row r="61" spans="2:4">
      <c r="B61" s="11"/>
      <c r="C61" s="8"/>
      <c r="D61" s="8"/>
    </row>
    <row r="62" spans="2:4">
      <c r="B62" s="11"/>
      <c r="C62" s="8"/>
      <c r="D62" s="8"/>
    </row>
    <row r="63" spans="2:4">
      <c r="B63" s="11"/>
      <c r="C63" s="8"/>
      <c r="D63" s="8"/>
    </row>
    <row r="64" spans="2:4">
      <c r="C64" s="8"/>
      <c r="D64" s="8"/>
    </row>
    <row r="65" spans="2:4">
      <c r="B65" s="11"/>
      <c r="C65" s="8"/>
      <c r="D65" s="8"/>
    </row>
    <row r="66" spans="2:4">
      <c r="C66" s="8"/>
      <c r="D66" s="8"/>
    </row>
    <row r="67" spans="2:4">
      <c r="C67" s="8"/>
      <c r="D67" s="8"/>
    </row>
    <row r="68" spans="2:4">
      <c r="C68" s="8"/>
      <c r="D68" s="8"/>
    </row>
    <row r="69" spans="2:4">
      <c r="C69" s="8"/>
      <c r="D69" s="8"/>
    </row>
    <row r="70" spans="2:4">
      <c r="C70" s="8"/>
      <c r="D70" s="8"/>
    </row>
    <row r="71" spans="2:4">
      <c r="C71" s="8"/>
      <c r="D71" s="8"/>
    </row>
    <row r="72" spans="2:4">
      <c r="C72" s="8"/>
      <c r="D72" s="8"/>
    </row>
    <row r="73" spans="2:4">
      <c r="C73" s="8"/>
      <c r="D73" s="8"/>
    </row>
    <row r="74" spans="2:4">
      <c r="C74" s="8"/>
      <c r="D74" s="8"/>
    </row>
    <row r="75" spans="2:4">
      <c r="C75" s="8"/>
      <c r="D75" s="8"/>
    </row>
    <row r="76" spans="2:4">
      <c r="C76" s="8"/>
      <c r="D76" s="8"/>
    </row>
    <row r="77" spans="2:4">
      <c r="C77" s="8"/>
      <c r="D77" s="8"/>
    </row>
    <row r="78" spans="2:4">
      <c r="C78" s="8"/>
      <c r="D78" s="8"/>
    </row>
    <row r="79" spans="2:4">
      <c r="C79" s="8"/>
      <c r="D79" s="8"/>
    </row>
    <row r="80" spans="2:4">
      <c r="C80" s="8"/>
      <c r="D80" s="8"/>
    </row>
    <row r="81" spans="2:4">
      <c r="C81" s="8"/>
      <c r="D81" s="8"/>
    </row>
    <row r="82" spans="2:4">
      <c r="C82" s="8"/>
      <c r="D82" s="8"/>
    </row>
    <row r="83" spans="2:4">
      <c r="C83" s="8"/>
      <c r="D83" s="8"/>
    </row>
    <row r="84" spans="2:4">
      <c r="C84" s="8"/>
      <c r="D84" s="8"/>
    </row>
    <row r="85" spans="2:4">
      <c r="C85" s="8"/>
      <c r="D85" s="8"/>
    </row>
    <row r="86" spans="2:4">
      <c r="C86" s="8"/>
      <c r="D86" s="8"/>
    </row>
    <row r="87" spans="2:4">
      <c r="C87" s="8"/>
      <c r="D87" s="8"/>
    </row>
    <row r="88" spans="2:4">
      <c r="C88" s="8"/>
      <c r="D88" s="8"/>
    </row>
    <row r="89" spans="2:4">
      <c r="C89" s="8"/>
      <c r="D89" s="8"/>
    </row>
    <row r="90" spans="2:4">
      <c r="C90" s="8"/>
      <c r="D90" s="8"/>
    </row>
    <row r="91" spans="2:4">
      <c r="C91" s="8"/>
      <c r="D91" s="8"/>
    </row>
    <row r="92" spans="2:4">
      <c r="C92" s="8"/>
      <c r="D92" s="8"/>
    </row>
    <row r="93" spans="2:4">
      <c r="C93" s="8"/>
      <c r="D93" s="8"/>
    </row>
    <row r="94" spans="2:4">
      <c r="B94" s="11"/>
      <c r="C94" s="8"/>
      <c r="D94" s="8"/>
    </row>
    <row r="95" spans="2:4">
      <c r="C95" s="8"/>
      <c r="D95" s="8"/>
    </row>
    <row r="96" spans="2:4">
      <c r="C96" s="8"/>
      <c r="D96" s="8"/>
    </row>
    <row r="97" spans="3:4">
      <c r="C97" s="8"/>
      <c r="D97" s="8"/>
    </row>
    <row r="98" spans="3:4">
      <c r="C98" s="8"/>
      <c r="D98" s="8"/>
    </row>
    <row r="99" spans="3:4">
      <c r="C99" s="8"/>
      <c r="D99" s="8"/>
    </row>
    <row r="100" spans="3:4">
      <c r="C100" s="8"/>
      <c r="D100" s="8"/>
    </row>
  </sheetData>
  <phoneticPr fontId="1" type="noConversion"/>
  <pageMargins left="0.75" right="0.75" top="1" bottom="1" header="0.5" footer="0.5"/>
  <pageSetup orientation="portrait" r:id="rId1"/>
  <headerFooter alignWithMargins="0">
    <oddHeader>&amp;L&amp;8Form # EN-7.3-F-VDP0960A (16-Feb-06)</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tBlockTemplate">
    <pageSetUpPr fitToPage="1"/>
  </sheetPr>
  <dimension ref="A1:M36"/>
  <sheetViews>
    <sheetView showOutlineSymbols="0" zoomScale="70" zoomScaleNormal="70" workbookViewId="0">
      <pane ySplit="1" topLeftCell="A2" activePane="bottomLeft" state="frozen"/>
      <selection activeCell="C8" sqref="C8"/>
      <selection pane="bottomLeft" activeCell="B8" sqref="B8"/>
    </sheetView>
  </sheetViews>
  <sheetFormatPr defaultColWidth="9.1796875" defaultRowHeight="56.25" customHeight="1"/>
  <cols>
    <col min="1" max="1" width="13.81640625" style="2" customWidth="1"/>
    <col min="2" max="3" width="26.453125" style="2" customWidth="1"/>
    <col min="4" max="4" width="12.1796875" style="89" customWidth="1"/>
    <col min="5" max="16384" width="9.1796875" style="2"/>
  </cols>
  <sheetData>
    <row r="1" spans="1:13" s="1" customFormat="1" ht="56.25" customHeight="1">
      <c r="B1" s="1" t="s">
        <v>3</v>
      </c>
      <c r="C1" s="1" t="s">
        <v>4</v>
      </c>
      <c r="D1" s="1" t="s">
        <v>164</v>
      </c>
    </row>
    <row r="2" spans="1:13" ht="94.5" customHeight="1">
      <c r="A2" s="2" t="s">
        <v>15</v>
      </c>
      <c r="B2" s="90"/>
      <c r="C2" s="90" t="s">
        <v>14</v>
      </c>
      <c r="D2" s="91">
        <v>139</v>
      </c>
      <c r="E2" s="89">
        <v>7869</v>
      </c>
      <c r="F2" s="89">
        <v>551</v>
      </c>
      <c r="G2" s="89">
        <v>662</v>
      </c>
    </row>
    <row r="3" spans="1:13" ht="94.5" customHeight="1">
      <c r="B3" s="90"/>
      <c r="C3" s="90" t="s">
        <v>10</v>
      </c>
      <c r="D3" s="91">
        <v>131</v>
      </c>
      <c r="E3" s="104"/>
      <c r="F3" s="89"/>
      <c r="G3" s="89"/>
      <c r="K3" s="95" t="s">
        <v>13</v>
      </c>
      <c r="L3" s="96">
        <v>6851</v>
      </c>
      <c r="M3" s="97">
        <v>661</v>
      </c>
    </row>
    <row r="4" spans="1:13" ht="94.5" customHeight="1">
      <c r="B4" s="90"/>
      <c r="C4" s="90" t="s">
        <v>9</v>
      </c>
      <c r="D4" s="91">
        <v>130</v>
      </c>
      <c r="E4" s="89"/>
      <c r="F4" s="89"/>
      <c r="G4" s="89"/>
    </row>
    <row r="5" spans="1:13" ht="94.5" customHeight="1">
      <c r="B5" s="90"/>
      <c r="C5" s="90" t="s">
        <v>6</v>
      </c>
      <c r="D5" s="91">
        <v>2234</v>
      </c>
      <c r="E5" s="89"/>
      <c r="F5" s="89"/>
      <c r="G5" s="89"/>
    </row>
    <row r="6" spans="1:13" ht="94.5" customHeight="1">
      <c r="B6" s="90"/>
      <c r="C6" s="90" t="s">
        <v>5</v>
      </c>
      <c r="D6" s="91">
        <v>1538</v>
      </c>
      <c r="E6" s="89">
        <v>516</v>
      </c>
      <c r="F6" s="89"/>
      <c r="G6" s="89"/>
    </row>
    <row r="7" spans="1:13" ht="94.5" customHeight="1">
      <c r="B7" s="90"/>
      <c r="C7" s="90" t="s">
        <v>7</v>
      </c>
      <c r="D7" s="91">
        <v>1851</v>
      </c>
      <c r="E7" s="89"/>
      <c r="F7" s="89"/>
      <c r="G7" s="89"/>
      <c r="K7" s="2" t="s">
        <v>170</v>
      </c>
    </row>
    <row r="8" spans="1:13" ht="94.5" customHeight="1">
      <c r="B8" s="90"/>
      <c r="C8" s="90" t="s">
        <v>12</v>
      </c>
      <c r="D8" s="91">
        <v>720</v>
      </c>
      <c r="E8" s="89">
        <v>202</v>
      </c>
      <c r="F8" s="89">
        <v>446</v>
      </c>
      <c r="G8" s="89">
        <v>7081</v>
      </c>
    </row>
    <row r="9" spans="1:13" ht="94.5" customHeight="1">
      <c r="B9" s="90"/>
      <c r="C9" s="90" t="s">
        <v>11</v>
      </c>
      <c r="D9" s="91">
        <v>152</v>
      </c>
      <c r="E9" s="89">
        <v>1119</v>
      </c>
      <c r="F9" s="89">
        <v>9711</v>
      </c>
      <c r="G9" s="89"/>
    </row>
    <row r="10" spans="1:13" ht="94.5" customHeight="1">
      <c r="B10" s="90"/>
      <c r="C10" s="90" t="s">
        <v>8</v>
      </c>
      <c r="D10" s="91">
        <v>6527</v>
      </c>
      <c r="E10" s="89"/>
      <c r="F10" s="89"/>
      <c r="G10" s="89"/>
    </row>
    <row r="11" spans="1:13" ht="94.5" customHeight="1">
      <c r="B11" s="90"/>
      <c r="C11" s="90" t="s">
        <v>168</v>
      </c>
      <c r="D11" s="91">
        <v>492</v>
      </c>
      <c r="E11" s="89"/>
      <c r="F11" s="89"/>
      <c r="G11" s="89"/>
      <c r="H11" s="2" t="s">
        <v>169</v>
      </c>
    </row>
    <row r="12" spans="1:13" ht="94.5" customHeight="1">
      <c r="B12" s="90"/>
      <c r="C12" s="90" t="e">
        <f>"Connection " &amp;#REF! &amp; " - " &amp;#REF!</f>
        <v>#REF!</v>
      </c>
      <c r="D12" s="91">
        <v>3777</v>
      </c>
      <c r="E12" s="89">
        <v>1</v>
      </c>
      <c r="F12" s="89"/>
      <c r="G12" s="89"/>
      <c r="H12" s="94" t="str">
        <f t="shared" ref="H12:H21" si="0">REPLACE(F12,1,11,"")</f>
        <v/>
      </c>
    </row>
    <row r="13" spans="1:13" ht="94.5" customHeight="1">
      <c r="B13" s="90"/>
      <c r="C13" s="90" t="e">
        <f>"Connection " &amp;#REF! &amp; " - " &amp;#REF!</f>
        <v>#REF!</v>
      </c>
      <c r="D13" s="91">
        <v>3778</v>
      </c>
      <c r="E13" s="89">
        <v>2</v>
      </c>
      <c r="F13" s="89"/>
      <c r="G13" s="89"/>
      <c r="H13" s="94" t="str">
        <f t="shared" si="0"/>
        <v/>
      </c>
    </row>
    <row r="14" spans="1:13" ht="94.5" customHeight="1">
      <c r="B14" s="90"/>
      <c r="C14" s="90" t="e">
        <f>"Connection " &amp;#REF! &amp; " - " &amp;#REF!</f>
        <v>#REF!</v>
      </c>
      <c r="D14" s="91">
        <v>3779</v>
      </c>
      <c r="E14" s="89">
        <v>3</v>
      </c>
      <c r="F14" s="89"/>
      <c r="G14" s="89"/>
      <c r="H14" s="94" t="str">
        <f t="shared" si="0"/>
        <v/>
      </c>
    </row>
    <row r="15" spans="1:13" ht="94.5" customHeight="1">
      <c r="B15" s="90"/>
      <c r="C15" s="90" t="e">
        <f>"Connection " &amp;#REF! &amp; " - " &amp;#REF!</f>
        <v>#REF!</v>
      </c>
      <c r="D15" s="91">
        <v>3780</v>
      </c>
      <c r="E15" s="89">
        <v>4</v>
      </c>
      <c r="F15" s="89"/>
      <c r="G15" s="89"/>
      <c r="H15" s="94" t="str">
        <f t="shared" si="0"/>
        <v/>
      </c>
    </row>
    <row r="16" spans="1:13" ht="94.5" customHeight="1">
      <c r="B16" s="90"/>
      <c r="C16" s="90" t="e">
        <f>"Connection " &amp;#REF! &amp; " - " &amp;#REF!</f>
        <v>#REF!</v>
      </c>
      <c r="D16" s="91">
        <v>3781</v>
      </c>
      <c r="E16" s="89">
        <v>5</v>
      </c>
      <c r="F16" s="89"/>
      <c r="G16" s="89"/>
      <c r="H16" s="94" t="str">
        <f t="shared" si="0"/>
        <v/>
      </c>
    </row>
    <row r="17" spans="2:8" ht="94.5" customHeight="1">
      <c r="B17" s="90"/>
      <c r="C17" s="90" t="e">
        <f>"Connection " &amp;#REF! &amp; " - " &amp;#REF!</f>
        <v>#REF!</v>
      </c>
      <c r="D17" s="91">
        <v>3782</v>
      </c>
      <c r="E17" s="89">
        <v>6</v>
      </c>
      <c r="F17" s="89"/>
      <c r="G17" s="89"/>
      <c r="H17" s="94" t="str">
        <f t="shared" si="0"/>
        <v/>
      </c>
    </row>
    <row r="18" spans="2:8" ht="94.5" customHeight="1">
      <c r="B18" s="90"/>
      <c r="C18" s="90" t="e">
        <f>"Connection " &amp;#REF! &amp; " - " &amp;#REF!</f>
        <v>#REF!</v>
      </c>
      <c r="D18" s="91">
        <v>3783</v>
      </c>
      <c r="E18" s="89">
        <v>7</v>
      </c>
      <c r="F18" s="89"/>
      <c r="G18" s="89"/>
      <c r="H18" s="94" t="str">
        <f t="shared" si="0"/>
        <v/>
      </c>
    </row>
    <row r="19" spans="2:8" ht="94.5" customHeight="1">
      <c r="B19" s="90"/>
      <c r="C19" s="90" t="e">
        <f>"Connection " &amp;#REF! &amp; " - " &amp;#REF!</f>
        <v>#REF!</v>
      </c>
      <c r="D19" s="91">
        <v>3784</v>
      </c>
      <c r="E19" s="89">
        <v>8</v>
      </c>
      <c r="F19" s="89"/>
      <c r="G19" s="89"/>
      <c r="H19" s="94" t="str">
        <f t="shared" si="0"/>
        <v/>
      </c>
    </row>
    <row r="20" spans="2:8" ht="94.5" customHeight="1">
      <c r="B20" s="90"/>
      <c r="C20" s="90" t="e">
        <f>"Connection " &amp;#REF! &amp; " - " &amp;#REF!</f>
        <v>#REF!</v>
      </c>
      <c r="D20" s="91">
        <v>3785</v>
      </c>
      <c r="E20" s="89">
        <v>9</v>
      </c>
      <c r="F20" s="89"/>
      <c r="G20" s="89"/>
      <c r="H20" s="94" t="str">
        <f t="shared" si="0"/>
        <v/>
      </c>
    </row>
    <row r="21" spans="2:8" ht="94.5" customHeight="1">
      <c r="B21" s="90"/>
      <c r="C21" s="90" t="e">
        <f>"Connection " &amp;#REF! &amp; " - " &amp;#REF!</f>
        <v>#REF!</v>
      </c>
      <c r="D21" s="91">
        <v>3786</v>
      </c>
      <c r="E21" s="89">
        <v>10</v>
      </c>
      <c r="F21" s="89"/>
      <c r="G21" s="89"/>
      <c r="H21" s="94" t="str">
        <f t="shared" si="0"/>
        <v/>
      </c>
    </row>
    <row r="22" spans="2:8" ht="94.5" customHeight="1">
      <c r="B22" s="92"/>
      <c r="C22" s="92"/>
      <c r="D22" s="93"/>
    </row>
    <row r="23" spans="2:8" ht="94.5" customHeight="1">
      <c r="B23" s="92"/>
      <c r="C23" s="92"/>
      <c r="D23" s="93"/>
    </row>
    <row r="24" spans="2:8" ht="94.5" customHeight="1">
      <c r="B24" s="92"/>
      <c r="C24" s="92"/>
      <c r="D24" s="93"/>
    </row>
    <row r="25" spans="2:8" ht="94.5" customHeight="1">
      <c r="B25" s="92"/>
      <c r="C25" s="92"/>
      <c r="D25" s="93"/>
    </row>
    <row r="26" spans="2:8" ht="94.5" customHeight="1">
      <c r="B26" s="92"/>
      <c r="C26" s="92"/>
      <c r="D26" s="93"/>
    </row>
    <row r="27" spans="2:8" ht="94.5" customHeight="1">
      <c r="B27" s="92"/>
      <c r="C27" s="92"/>
      <c r="D27" s="93"/>
    </row>
    <row r="28" spans="2:8" ht="94.5" customHeight="1">
      <c r="B28" s="92"/>
      <c r="C28" s="92"/>
      <c r="D28" s="93"/>
    </row>
    <row r="29" spans="2:8" ht="94.5" customHeight="1">
      <c r="B29" s="92"/>
      <c r="C29" s="92"/>
      <c r="D29" s="93"/>
    </row>
    <row r="30" spans="2:8" ht="94.5" customHeight="1">
      <c r="B30" s="92"/>
      <c r="C30" s="92"/>
      <c r="D30" s="93"/>
    </row>
    <row r="31" spans="2:8" ht="94.5" customHeight="1">
      <c r="B31" s="92"/>
      <c r="C31" s="92"/>
      <c r="D31" s="93"/>
    </row>
    <row r="32" spans="2:8" ht="94.5" customHeight="1">
      <c r="B32" s="92"/>
      <c r="C32" s="92"/>
      <c r="D32" s="93"/>
    </row>
    <row r="33" spans="1:4" ht="94.5" customHeight="1">
      <c r="B33" s="92"/>
      <c r="C33" s="92"/>
      <c r="D33" s="93"/>
    </row>
    <row r="34" spans="1:4" ht="94.5" customHeight="1">
      <c r="B34" s="92"/>
      <c r="C34" s="92"/>
      <c r="D34" s="93"/>
    </row>
    <row r="35" spans="1:4" ht="94.5" customHeight="1">
      <c r="B35" s="92"/>
      <c r="C35" s="92"/>
      <c r="D35" s="93"/>
    </row>
    <row r="36" spans="1:4" ht="94.5" customHeight="1">
      <c r="A36" s="2" t="s">
        <v>167</v>
      </c>
    </row>
  </sheetData>
  <phoneticPr fontId="8" type="noConversion"/>
  <printOptions horizontalCentered="1"/>
  <pageMargins left="0.25" right="0.25" top="0.25" bottom="0.25" header="0.5" footer="0.5"/>
  <pageSetup scale="23"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tInputs"/>
  <dimension ref="A1:I50"/>
  <sheetViews>
    <sheetView showGridLines="0" zoomScaleNormal="100" workbookViewId="0">
      <pane ySplit="4" topLeftCell="A5" activePane="bottomLeft" state="frozen"/>
      <selection pane="bottomLeft" activeCell="B5" sqref="B5"/>
    </sheetView>
  </sheetViews>
  <sheetFormatPr defaultColWidth="10.26953125" defaultRowHeight="14"/>
  <cols>
    <col min="1" max="1" width="5.54296875" style="23" customWidth="1"/>
    <col min="2" max="2" width="44.453125" style="19" customWidth="1"/>
    <col min="3" max="3" width="23.54296875" style="25" customWidth="1"/>
    <col min="4" max="4" width="17.26953125" style="25" customWidth="1"/>
    <col min="5" max="16384" width="10.26953125" style="17"/>
  </cols>
  <sheetData>
    <row r="1" spans="1:9">
      <c r="A1" s="80" t="e">
        <f>IF(descript="","Description: Enter in Header Info",CONCATENATE("Description: ",descript))</f>
        <v>#REF!</v>
      </c>
      <c r="B1" s="88"/>
      <c r="C1" s="75"/>
      <c r="D1" s="75"/>
    </row>
    <row r="2" spans="1:9">
      <c r="A2" s="18"/>
      <c r="C2" s="20"/>
      <c r="D2" s="21"/>
    </row>
    <row r="3" spans="1:9">
      <c r="A3" s="22"/>
      <c r="C3" s="20"/>
      <c r="D3" s="21"/>
    </row>
    <row r="4" spans="1:9">
      <c r="A4" s="73" t="s">
        <v>102</v>
      </c>
      <c r="B4" s="74" t="s">
        <v>103</v>
      </c>
      <c r="C4" s="74" t="s">
        <v>104</v>
      </c>
      <c r="D4" s="74" t="s">
        <v>105</v>
      </c>
    </row>
    <row r="5" spans="1:9">
      <c r="A5" s="99"/>
      <c r="B5" s="101"/>
      <c r="C5" s="101"/>
      <c r="D5" s="76"/>
    </row>
    <row r="6" spans="1:9">
      <c r="A6" s="77"/>
      <c r="B6" s="78"/>
      <c r="C6" s="78"/>
      <c r="D6" s="76"/>
    </row>
    <row r="7" spans="1:9">
      <c r="A7" s="77"/>
      <c r="B7" s="78"/>
      <c r="C7" s="78"/>
      <c r="D7" s="76"/>
    </row>
    <row r="8" spans="1:9">
      <c r="A8" s="77"/>
      <c r="B8" s="78"/>
      <c r="C8" s="78"/>
      <c r="D8" s="76"/>
    </row>
    <row r="9" spans="1:9">
      <c r="A9" s="77"/>
      <c r="B9" s="78"/>
      <c r="C9" s="78"/>
      <c r="D9" s="76"/>
      <c r="G9" s="98"/>
      <c r="H9" s="98"/>
      <c r="I9" s="98"/>
    </row>
    <row r="10" spans="1:9">
      <c r="A10" s="77"/>
      <c r="B10" s="78"/>
      <c r="C10" s="78"/>
      <c r="D10" s="76"/>
    </row>
    <row r="11" spans="1:9">
      <c r="A11" s="77"/>
      <c r="B11" s="78"/>
      <c r="C11" s="78"/>
      <c r="D11" s="76"/>
    </row>
    <row r="12" spans="1:9">
      <c r="A12" s="77"/>
      <c r="B12" s="78"/>
      <c r="C12" s="78"/>
      <c r="D12" s="76"/>
    </row>
    <row r="13" spans="1:9">
      <c r="A13" s="77"/>
      <c r="B13" s="78"/>
      <c r="C13" s="78"/>
      <c r="D13" s="76"/>
    </row>
    <row r="14" spans="1:9">
      <c r="A14" s="77"/>
      <c r="B14" s="78"/>
      <c r="C14" s="78"/>
      <c r="D14" s="76"/>
    </row>
    <row r="15" spans="1:9">
      <c r="A15" s="77"/>
      <c r="B15" s="78"/>
      <c r="C15" s="78"/>
      <c r="D15" s="76"/>
    </row>
    <row r="16" spans="1:9">
      <c r="A16" s="77"/>
      <c r="B16" s="78"/>
      <c r="C16" s="78"/>
      <c r="D16" s="76"/>
    </row>
    <row r="17" spans="1:4">
      <c r="A17" s="77"/>
      <c r="B17" s="78"/>
      <c r="C17" s="78"/>
      <c r="D17" s="76"/>
    </row>
    <row r="18" spans="1:4">
      <c r="A18" s="77"/>
      <c r="B18" s="78"/>
      <c r="C18" s="78"/>
      <c r="D18" s="76"/>
    </row>
    <row r="19" spans="1:4">
      <c r="A19" s="77"/>
      <c r="B19" s="78"/>
      <c r="C19" s="78"/>
      <c r="D19" s="76"/>
    </row>
    <row r="20" spans="1:4">
      <c r="A20" s="77"/>
      <c r="B20" s="78"/>
      <c r="C20" s="78"/>
      <c r="D20" s="76"/>
    </row>
    <row r="21" spans="1:4">
      <c r="A21" s="79"/>
      <c r="B21" s="76"/>
      <c r="C21" s="76"/>
      <c r="D21" s="76"/>
    </row>
    <row r="22" spans="1:4">
      <c r="A22" s="79"/>
      <c r="B22" s="76"/>
      <c r="C22" s="76"/>
      <c r="D22" s="76"/>
    </row>
    <row r="23" spans="1:4">
      <c r="A23" s="77"/>
      <c r="B23" s="78"/>
      <c r="C23" s="78"/>
      <c r="D23" s="76"/>
    </row>
    <row r="24" spans="1:4">
      <c r="A24" s="79"/>
      <c r="B24" s="76"/>
      <c r="C24" s="76"/>
      <c r="D24" s="76"/>
    </row>
    <row r="25" spans="1:4">
      <c r="A25" s="79"/>
      <c r="B25" s="76"/>
      <c r="C25" s="76"/>
      <c r="D25" s="76"/>
    </row>
    <row r="26" spans="1:4">
      <c r="A26" s="79"/>
      <c r="B26" s="76"/>
      <c r="C26" s="76"/>
      <c r="D26" s="76"/>
    </row>
    <row r="27" spans="1:4">
      <c r="A27" s="79"/>
      <c r="B27" s="76"/>
      <c r="C27" s="76"/>
      <c r="D27" s="76"/>
    </row>
    <row r="28" spans="1:4">
      <c r="A28" s="79"/>
      <c r="B28" s="76"/>
      <c r="C28" s="76"/>
      <c r="D28" s="76"/>
    </row>
    <row r="29" spans="1:4">
      <c r="A29" s="79"/>
      <c r="B29" s="76"/>
      <c r="C29" s="76"/>
      <c r="D29" s="76"/>
    </row>
    <row r="30" spans="1:4">
      <c r="A30" s="79"/>
      <c r="B30" s="76"/>
      <c r="C30" s="76"/>
      <c r="D30" s="76"/>
    </row>
    <row r="31" spans="1:4">
      <c r="A31" s="79"/>
      <c r="B31" s="76"/>
      <c r="C31" s="76"/>
      <c r="D31" s="76"/>
    </row>
    <row r="32" spans="1:4">
      <c r="A32" s="79"/>
      <c r="B32" s="76"/>
      <c r="C32" s="76"/>
      <c r="D32" s="76"/>
    </row>
    <row r="33" spans="1:4">
      <c r="A33" s="79"/>
      <c r="B33" s="76"/>
      <c r="C33" s="76"/>
      <c r="D33" s="76"/>
    </row>
    <row r="34" spans="1:4">
      <c r="A34" s="79"/>
      <c r="B34" s="76"/>
      <c r="C34" s="76"/>
      <c r="D34" s="76"/>
    </row>
    <row r="35" spans="1:4">
      <c r="A35" s="79"/>
      <c r="B35" s="76"/>
      <c r="C35" s="76"/>
      <c r="D35" s="76"/>
    </row>
    <row r="36" spans="1:4">
      <c r="A36" s="79"/>
      <c r="B36" s="76"/>
      <c r="C36" s="76"/>
      <c r="D36" s="76"/>
    </row>
    <row r="37" spans="1:4">
      <c r="A37" s="79"/>
      <c r="B37" s="76"/>
      <c r="C37" s="76"/>
      <c r="D37" s="76"/>
    </row>
    <row r="38" spans="1:4">
      <c r="A38" s="79"/>
      <c r="B38" s="76"/>
      <c r="C38" s="76"/>
      <c r="D38" s="76"/>
    </row>
    <row r="39" spans="1:4">
      <c r="A39" s="79"/>
      <c r="B39" s="76"/>
      <c r="C39" s="76"/>
      <c r="D39" s="76"/>
    </row>
    <row r="40" spans="1:4">
      <c r="A40" s="79"/>
      <c r="B40" s="76"/>
      <c r="C40" s="76"/>
      <c r="D40" s="76"/>
    </row>
    <row r="41" spans="1:4">
      <c r="A41" s="79"/>
      <c r="B41" s="76"/>
      <c r="C41" s="76"/>
      <c r="D41" s="76"/>
    </row>
    <row r="42" spans="1:4">
      <c r="A42" s="79"/>
      <c r="B42" s="76"/>
      <c r="C42" s="76"/>
      <c r="D42" s="76"/>
    </row>
    <row r="43" spans="1:4">
      <c r="A43" s="79"/>
      <c r="B43" s="76"/>
      <c r="C43" s="76"/>
      <c r="D43" s="76"/>
    </row>
    <row r="44" spans="1:4">
      <c r="A44" s="79"/>
      <c r="B44" s="76"/>
      <c r="C44" s="76"/>
      <c r="D44" s="76"/>
    </row>
    <row r="45" spans="1:4">
      <c r="A45" s="79"/>
      <c r="B45" s="76"/>
      <c r="C45" s="76"/>
      <c r="D45" s="76"/>
    </row>
    <row r="46" spans="1:4">
      <c r="A46" s="79"/>
      <c r="B46" s="76"/>
      <c r="C46" s="76"/>
      <c r="D46" s="76"/>
    </row>
    <row r="47" spans="1:4">
      <c r="A47" s="79"/>
      <c r="B47" s="76"/>
      <c r="C47" s="76"/>
      <c r="D47" s="76"/>
    </row>
    <row r="48" spans="1:4">
      <c r="A48" s="79"/>
      <c r="B48" s="76"/>
      <c r="C48" s="76"/>
      <c r="D48" s="76"/>
    </row>
    <row r="49" spans="1:4">
      <c r="A49" s="79"/>
      <c r="B49" s="76"/>
      <c r="C49" s="76"/>
      <c r="D49" s="76"/>
    </row>
    <row r="50" spans="1:4">
      <c r="A50" s="79"/>
      <c r="B50" s="76"/>
      <c r="C50" s="76"/>
      <c r="D50" s="76"/>
    </row>
  </sheetData>
  <phoneticPr fontId="8" type="noConversion"/>
  <printOptions horizontalCentered="1"/>
  <pageMargins left="0.25" right="0.25" top="0.5" bottom="0.5" header="0" footer="0"/>
  <pageSetup orientation="portrait" r:id="rId1"/>
  <headerFooter alignWithMargins="0">
    <oddHeader>&amp;L&amp;8Form # EN-7.3-F-VDP0960A (23-Feb-06)&amp;R&amp;8GM NAPD</oddHeader>
    <oddFooter>&amp;L&amp;8
Printed: &amp;D&amp;C&amp;8
GM Confidential&amp;R&amp;8Page  &amp;P  of  &amp;N
&amp;F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kNumber">
              <controlPr defaultSize="0" print="0" autoFill="0" autoLine="0" autoPict="0">
                <anchor>
                  <from>
                    <xdr:col>0</xdr:col>
                    <xdr:colOff>0</xdr:colOff>
                    <xdr:row>1</xdr:row>
                    <xdr:rowOff>88900</xdr:rowOff>
                  </from>
                  <to>
                    <xdr:col>1</xdr:col>
                    <xdr:colOff>393700</xdr:colOff>
                    <xdr:row>2</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tOutputs"/>
  <dimension ref="A1:E211"/>
  <sheetViews>
    <sheetView showGridLines="0" zoomScaleNormal="100" workbookViewId="0">
      <pane ySplit="4" topLeftCell="A5" activePane="bottomLeft" state="frozen"/>
      <selection activeCell="D18" sqref="D18"/>
      <selection pane="bottomLeft" activeCell="B6" sqref="B6"/>
    </sheetView>
  </sheetViews>
  <sheetFormatPr defaultColWidth="10.26953125" defaultRowHeight="14"/>
  <cols>
    <col min="1" max="1" width="5.54296875" style="23" customWidth="1"/>
    <col min="2" max="2" width="39.81640625" style="25" customWidth="1"/>
    <col min="3" max="3" width="14.26953125" style="25" customWidth="1"/>
    <col min="4" max="4" width="33.453125" style="25" customWidth="1"/>
    <col min="5" max="5" width="23.453125" style="25" customWidth="1"/>
    <col min="6" max="16384" width="10.26953125" style="17"/>
  </cols>
  <sheetData>
    <row r="1" spans="1:5">
      <c r="A1" s="16"/>
      <c r="B1" s="82" t="s">
        <v>133</v>
      </c>
      <c r="C1" s="83" t="e">
        <f>IF(descript="","",descript)</f>
        <v>#REF!</v>
      </c>
      <c r="D1" s="81"/>
      <c r="E1" s="17"/>
    </row>
    <row r="2" spans="1:5">
      <c r="A2" s="18"/>
      <c r="B2" s="24"/>
      <c r="C2" s="20"/>
      <c r="D2" s="17"/>
      <c r="E2" s="17"/>
    </row>
    <row r="3" spans="1:5">
      <c r="A3" s="22"/>
      <c r="B3" s="24"/>
      <c r="C3" s="20"/>
      <c r="D3" s="17"/>
      <c r="E3" s="74" t="s">
        <v>106</v>
      </c>
    </row>
    <row r="4" spans="1:5">
      <c r="A4" s="73" t="s">
        <v>102</v>
      </c>
      <c r="B4" s="74" t="s">
        <v>107</v>
      </c>
      <c r="C4" s="74" t="s">
        <v>108</v>
      </c>
      <c r="D4" s="74" t="s">
        <v>109</v>
      </c>
      <c r="E4" s="74" t="s">
        <v>110</v>
      </c>
    </row>
    <row r="5" spans="1:5">
      <c r="A5" s="99"/>
      <c r="B5" s="100"/>
      <c r="C5" s="100"/>
      <c r="D5" s="100"/>
      <c r="E5" s="86"/>
    </row>
    <row r="6" spans="1:5">
      <c r="A6" s="77"/>
      <c r="B6" s="87"/>
      <c r="C6" s="87"/>
      <c r="D6" s="87"/>
      <c r="E6" s="86"/>
    </row>
    <row r="7" spans="1:5">
      <c r="A7" s="77"/>
      <c r="B7" s="87"/>
      <c r="C7" s="87"/>
      <c r="D7" s="87"/>
      <c r="E7" s="86"/>
    </row>
    <row r="8" spans="1:5">
      <c r="A8" s="77"/>
      <c r="B8" s="87"/>
      <c r="C8" s="87"/>
      <c r="D8" s="87"/>
      <c r="E8" s="86"/>
    </row>
    <row r="9" spans="1:5">
      <c r="A9" s="77"/>
      <c r="B9" s="87"/>
      <c r="C9" s="87"/>
      <c r="D9" s="87"/>
      <c r="E9" s="86"/>
    </row>
    <row r="10" spans="1:5">
      <c r="A10" s="77"/>
      <c r="B10" s="87"/>
      <c r="C10" s="87"/>
      <c r="D10" s="87"/>
      <c r="E10" s="86"/>
    </row>
    <row r="11" spans="1:5">
      <c r="A11" s="77"/>
      <c r="B11" s="87"/>
      <c r="C11" s="87"/>
      <c r="D11" s="87"/>
      <c r="E11" s="86"/>
    </row>
    <row r="12" spans="1:5">
      <c r="A12" s="77"/>
      <c r="B12" s="87"/>
      <c r="C12" s="87"/>
      <c r="D12" s="87"/>
      <c r="E12" s="86"/>
    </row>
    <row r="13" spans="1:5">
      <c r="A13" s="77"/>
      <c r="B13" s="87"/>
      <c r="C13" s="87"/>
      <c r="D13" s="87"/>
      <c r="E13" s="86"/>
    </row>
    <row r="14" spans="1:5">
      <c r="A14" s="79"/>
      <c r="B14" s="86"/>
      <c r="C14" s="86"/>
      <c r="D14" s="86"/>
      <c r="E14" s="86"/>
    </row>
    <row r="15" spans="1:5">
      <c r="A15" s="79"/>
      <c r="B15" s="86"/>
      <c r="C15" s="86"/>
      <c r="D15" s="86"/>
      <c r="E15" s="86"/>
    </row>
    <row r="16" spans="1:5">
      <c r="A16" s="79"/>
      <c r="B16" s="86"/>
      <c r="C16" s="86"/>
      <c r="D16" s="86"/>
      <c r="E16" s="86"/>
    </row>
    <row r="17" spans="1:5">
      <c r="A17" s="79"/>
      <c r="B17" s="86"/>
      <c r="C17" s="86"/>
      <c r="D17" s="86"/>
      <c r="E17" s="86"/>
    </row>
    <row r="18" spans="1:5">
      <c r="A18" s="79"/>
      <c r="B18" s="86"/>
      <c r="C18" s="86"/>
      <c r="D18" s="86"/>
      <c r="E18" s="86"/>
    </row>
    <row r="19" spans="1:5">
      <c r="A19" s="79"/>
      <c r="B19" s="86"/>
      <c r="C19" s="86"/>
      <c r="D19" s="86"/>
      <c r="E19" s="86"/>
    </row>
    <row r="20" spans="1:5">
      <c r="A20" s="79"/>
      <c r="B20" s="86"/>
      <c r="C20" s="86"/>
      <c r="D20" s="86"/>
      <c r="E20" s="86"/>
    </row>
    <row r="21" spans="1:5">
      <c r="A21" s="79"/>
      <c r="B21" s="86"/>
      <c r="C21" s="86"/>
      <c r="D21" s="86"/>
      <c r="E21" s="86"/>
    </row>
    <row r="22" spans="1:5">
      <c r="A22" s="79"/>
      <c r="B22" s="86"/>
      <c r="C22" s="86"/>
      <c r="D22" s="86"/>
      <c r="E22" s="86"/>
    </row>
    <row r="23" spans="1:5">
      <c r="A23" s="79"/>
      <c r="B23" s="86"/>
      <c r="C23" s="86"/>
      <c r="D23" s="86"/>
      <c r="E23" s="86"/>
    </row>
    <row r="24" spans="1:5">
      <c r="A24" s="79"/>
      <c r="B24" s="86"/>
      <c r="C24" s="86"/>
      <c r="D24" s="86"/>
      <c r="E24" s="86"/>
    </row>
    <row r="25" spans="1:5">
      <c r="A25" s="79"/>
      <c r="B25" s="86"/>
      <c r="C25" s="86"/>
      <c r="D25" s="86"/>
      <c r="E25" s="86"/>
    </row>
    <row r="26" spans="1:5">
      <c r="A26" s="79"/>
      <c r="B26" s="86"/>
      <c r="C26" s="86"/>
      <c r="D26" s="86"/>
      <c r="E26" s="86"/>
    </row>
    <row r="27" spans="1:5">
      <c r="A27" s="79"/>
      <c r="B27" s="86"/>
      <c r="C27" s="86"/>
      <c r="D27" s="86"/>
      <c r="E27" s="86"/>
    </row>
    <row r="28" spans="1:5">
      <c r="A28" s="77"/>
      <c r="B28" s="87"/>
      <c r="C28" s="87"/>
      <c r="D28" s="87"/>
      <c r="E28" s="86"/>
    </row>
    <row r="29" spans="1:5">
      <c r="A29" s="79"/>
      <c r="B29" s="86"/>
      <c r="C29" s="86"/>
      <c r="D29" s="86"/>
      <c r="E29" s="86"/>
    </row>
    <row r="30" spans="1:5">
      <c r="A30" s="79"/>
      <c r="B30" s="86"/>
      <c r="C30" s="86"/>
      <c r="D30" s="86"/>
      <c r="E30" s="86"/>
    </row>
    <row r="31" spans="1:5">
      <c r="A31" s="79"/>
      <c r="B31" s="86"/>
      <c r="C31" s="86"/>
      <c r="D31" s="86"/>
      <c r="E31" s="86"/>
    </row>
    <row r="32" spans="1:5">
      <c r="A32" s="79"/>
      <c r="B32" s="86"/>
      <c r="C32" s="86"/>
      <c r="D32" s="86"/>
      <c r="E32" s="86"/>
    </row>
    <row r="33" spans="1:5">
      <c r="A33" s="79"/>
      <c r="B33" s="86"/>
      <c r="C33" s="86"/>
      <c r="D33" s="86"/>
      <c r="E33" s="86"/>
    </row>
    <row r="34" spans="1:5">
      <c r="A34" s="79"/>
      <c r="B34" s="86"/>
      <c r="C34" s="86"/>
      <c r="D34" s="86"/>
      <c r="E34" s="86"/>
    </row>
    <row r="35" spans="1:5">
      <c r="A35" s="79"/>
      <c r="B35" s="86"/>
      <c r="C35" s="86"/>
      <c r="D35" s="86"/>
      <c r="E35" s="86"/>
    </row>
    <row r="36" spans="1:5">
      <c r="A36" s="79"/>
      <c r="B36" s="86"/>
      <c r="C36" s="86"/>
      <c r="D36" s="86"/>
      <c r="E36" s="86"/>
    </row>
    <row r="37" spans="1:5">
      <c r="A37" s="79"/>
      <c r="B37" s="86"/>
      <c r="C37" s="86"/>
      <c r="D37" s="86"/>
      <c r="E37" s="86"/>
    </row>
    <row r="38" spans="1:5">
      <c r="A38" s="79"/>
      <c r="B38" s="86"/>
      <c r="C38" s="86"/>
      <c r="D38" s="86"/>
      <c r="E38" s="86"/>
    </row>
    <row r="39" spans="1:5">
      <c r="A39" s="79"/>
      <c r="B39" s="86"/>
      <c r="C39" s="86"/>
      <c r="D39" s="86"/>
      <c r="E39" s="86"/>
    </row>
    <row r="40" spans="1:5">
      <c r="A40" s="79"/>
      <c r="B40" s="86"/>
      <c r="C40" s="86"/>
      <c r="D40" s="86"/>
      <c r="E40" s="86"/>
    </row>
    <row r="41" spans="1:5">
      <c r="A41" s="79"/>
      <c r="B41" s="86"/>
      <c r="C41" s="86"/>
      <c r="D41" s="86"/>
      <c r="E41" s="86"/>
    </row>
    <row r="42" spans="1:5">
      <c r="A42" s="79"/>
      <c r="B42" s="86"/>
      <c r="C42" s="86"/>
      <c r="D42" s="86"/>
      <c r="E42" s="86"/>
    </row>
    <row r="43" spans="1:5">
      <c r="A43" s="79"/>
      <c r="B43" s="86"/>
      <c r="C43" s="86"/>
      <c r="D43" s="86"/>
      <c r="E43" s="86"/>
    </row>
    <row r="44" spans="1:5">
      <c r="A44" s="79"/>
      <c r="B44" s="86"/>
      <c r="C44" s="86"/>
      <c r="D44" s="86"/>
      <c r="E44" s="86"/>
    </row>
    <row r="45" spans="1:5">
      <c r="A45" s="79"/>
      <c r="B45" s="86"/>
      <c r="C45" s="86"/>
      <c r="D45" s="86"/>
      <c r="E45" s="86"/>
    </row>
    <row r="46" spans="1:5">
      <c r="A46" s="79"/>
      <c r="B46" s="86"/>
      <c r="C46" s="86"/>
      <c r="D46" s="86"/>
      <c r="E46" s="86"/>
    </row>
    <row r="47" spans="1:5">
      <c r="A47" s="79"/>
      <c r="B47" s="86"/>
      <c r="C47" s="86"/>
      <c r="D47" s="86"/>
      <c r="E47" s="86"/>
    </row>
    <row r="48" spans="1:5">
      <c r="A48" s="79"/>
      <c r="B48" s="86"/>
      <c r="C48" s="86"/>
      <c r="D48" s="86"/>
      <c r="E48" s="86"/>
    </row>
    <row r="49" spans="1:5">
      <c r="A49" s="79"/>
      <c r="B49" s="86"/>
      <c r="C49" s="86"/>
      <c r="D49" s="86"/>
      <c r="E49" s="86"/>
    </row>
    <row r="50" spans="1:5">
      <c r="A50" s="79"/>
      <c r="B50" s="86"/>
      <c r="C50" s="86"/>
      <c r="D50" s="86"/>
      <c r="E50" s="86"/>
    </row>
    <row r="51" spans="1:5">
      <c r="A51" s="79"/>
      <c r="B51" s="86"/>
      <c r="C51" s="86"/>
      <c r="D51" s="86"/>
      <c r="E51" s="86"/>
    </row>
    <row r="52" spans="1:5">
      <c r="A52" s="79"/>
      <c r="B52" s="86"/>
      <c r="C52" s="86"/>
      <c r="D52" s="86"/>
      <c r="E52" s="86"/>
    </row>
    <row r="53" spans="1:5">
      <c r="A53" s="79"/>
      <c r="B53" s="86"/>
      <c r="C53" s="86"/>
      <c r="D53" s="86"/>
      <c r="E53" s="86"/>
    </row>
    <row r="54" spans="1:5">
      <c r="A54" s="79"/>
      <c r="B54" s="86"/>
      <c r="C54" s="86"/>
      <c r="D54" s="86"/>
      <c r="E54" s="86"/>
    </row>
    <row r="55" spans="1:5">
      <c r="A55" s="79"/>
      <c r="B55" s="86"/>
      <c r="C55" s="86"/>
      <c r="D55" s="86"/>
      <c r="E55" s="86"/>
    </row>
    <row r="56" spans="1:5">
      <c r="A56" s="79"/>
      <c r="B56" s="86"/>
      <c r="C56" s="86"/>
      <c r="D56" s="86"/>
      <c r="E56" s="86"/>
    </row>
    <row r="57" spans="1:5">
      <c r="A57" s="79"/>
      <c r="B57" s="86"/>
      <c r="C57" s="86"/>
      <c r="D57" s="86"/>
      <c r="E57" s="86"/>
    </row>
    <row r="58" spans="1:5">
      <c r="A58" s="79"/>
      <c r="B58" s="86"/>
      <c r="C58" s="86"/>
      <c r="D58" s="86"/>
      <c r="E58" s="86"/>
    </row>
    <row r="59" spans="1:5">
      <c r="A59" s="79"/>
      <c r="B59" s="86"/>
      <c r="C59" s="86"/>
      <c r="D59" s="86"/>
      <c r="E59" s="86"/>
    </row>
    <row r="60" spans="1:5">
      <c r="A60" s="79"/>
      <c r="B60" s="86"/>
      <c r="C60" s="86"/>
      <c r="D60" s="86"/>
      <c r="E60" s="86"/>
    </row>
    <row r="61" spans="1:5">
      <c r="A61" s="79"/>
      <c r="B61" s="86"/>
      <c r="C61" s="86"/>
      <c r="D61" s="86"/>
      <c r="E61" s="86"/>
    </row>
    <row r="62" spans="1:5">
      <c r="A62" s="79"/>
      <c r="B62" s="86"/>
      <c r="C62" s="86"/>
      <c r="D62" s="86"/>
      <c r="E62" s="86"/>
    </row>
    <row r="63" spans="1:5">
      <c r="A63" s="79"/>
      <c r="B63" s="86"/>
      <c r="C63" s="86"/>
      <c r="D63" s="86"/>
      <c r="E63" s="86"/>
    </row>
    <row r="64" spans="1:5">
      <c r="A64" s="79"/>
      <c r="B64" s="86"/>
      <c r="C64" s="86"/>
      <c r="D64" s="86"/>
      <c r="E64" s="86"/>
    </row>
    <row r="65" spans="1:5">
      <c r="A65" s="79"/>
      <c r="B65" s="86"/>
      <c r="C65" s="86"/>
      <c r="D65" s="86"/>
      <c r="E65" s="86"/>
    </row>
    <row r="66" spans="1:5">
      <c r="A66" s="79"/>
      <c r="B66" s="86"/>
      <c r="C66" s="86"/>
      <c r="D66" s="86"/>
      <c r="E66" s="86"/>
    </row>
    <row r="67" spans="1:5">
      <c r="A67" s="79"/>
      <c r="B67" s="86"/>
      <c r="C67" s="86"/>
      <c r="D67" s="86"/>
      <c r="E67" s="86"/>
    </row>
    <row r="68" spans="1:5">
      <c r="A68" s="79"/>
      <c r="B68" s="86"/>
      <c r="C68" s="86"/>
      <c r="D68" s="86"/>
      <c r="E68" s="86"/>
    </row>
    <row r="69" spans="1:5">
      <c r="A69" s="79"/>
      <c r="B69" s="86"/>
      <c r="C69" s="86"/>
      <c r="D69" s="86"/>
      <c r="E69" s="86"/>
    </row>
    <row r="70" spans="1:5">
      <c r="A70" s="79"/>
      <c r="B70" s="86"/>
      <c r="C70" s="86"/>
      <c r="D70" s="86"/>
      <c r="E70" s="86"/>
    </row>
    <row r="71" spans="1:5">
      <c r="A71" s="79"/>
      <c r="B71" s="86"/>
      <c r="C71" s="86"/>
      <c r="D71" s="86"/>
      <c r="E71" s="86"/>
    </row>
    <row r="72" spans="1:5">
      <c r="A72" s="79"/>
      <c r="B72" s="86"/>
      <c r="C72" s="86"/>
      <c r="D72" s="86"/>
      <c r="E72" s="86"/>
    </row>
    <row r="73" spans="1:5">
      <c r="A73" s="79"/>
      <c r="B73" s="86"/>
      <c r="C73" s="86"/>
      <c r="D73" s="86"/>
      <c r="E73" s="86"/>
    </row>
    <row r="74" spans="1:5">
      <c r="A74" s="79"/>
      <c r="B74" s="86"/>
      <c r="C74" s="86"/>
      <c r="D74" s="86"/>
      <c r="E74" s="86"/>
    </row>
    <row r="75" spans="1:5">
      <c r="A75" s="79"/>
      <c r="B75" s="86"/>
      <c r="C75" s="86"/>
      <c r="D75" s="86"/>
      <c r="E75" s="86"/>
    </row>
    <row r="76" spans="1:5">
      <c r="A76" s="79"/>
      <c r="B76" s="86"/>
      <c r="C76" s="86"/>
      <c r="D76" s="86"/>
      <c r="E76" s="86"/>
    </row>
    <row r="77" spans="1:5">
      <c r="A77" s="79"/>
      <c r="B77" s="86"/>
      <c r="C77" s="86"/>
      <c r="D77" s="86"/>
      <c r="E77" s="86"/>
    </row>
    <row r="78" spans="1:5">
      <c r="A78" s="79"/>
      <c r="B78" s="86"/>
      <c r="C78" s="86"/>
      <c r="D78" s="86"/>
      <c r="E78" s="86"/>
    </row>
    <row r="79" spans="1:5">
      <c r="A79" s="79"/>
      <c r="B79" s="86"/>
      <c r="C79" s="86"/>
      <c r="D79" s="86"/>
      <c r="E79" s="86"/>
    </row>
    <row r="80" spans="1:5">
      <c r="A80" s="79"/>
      <c r="B80" s="86"/>
      <c r="C80" s="86"/>
      <c r="D80" s="86"/>
      <c r="E80" s="86"/>
    </row>
    <row r="81" spans="1:5">
      <c r="A81" s="79"/>
      <c r="B81" s="86"/>
      <c r="C81" s="86"/>
      <c r="D81" s="86"/>
      <c r="E81" s="86"/>
    </row>
    <row r="82" spans="1:5">
      <c r="A82" s="79"/>
      <c r="B82" s="86"/>
      <c r="C82" s="86"/>
      <c r="D82" s="86"/>
      <c r="E82" s="86"/>
    </row>
    <row r="83" spans="1:5">
      <c r="A83" s="79"/>
      <c r="B83" s="86"/>
      <c r="C83" s="86"/>
      <c r="D83" s="86"/>
      <c r="E83" s="86"/>
    </row>
    <row r="84" spans="1:5">
      <c r="A84" s="79"/>
      <c r="B84" s="86"/>
      <c r="C84" s="86"/>
      <c r="D84" s="86"/>
      <c r="E84" s="86"/>
    </row>
    <row r="85" spans="1:5">
      <c r="A85" s="79"/>
      <c r="B85" s="86"/>
      <c r="C85" s="86"/>
      <c r="D85" s="86"/>
      <c r="E85" s="86"/>
    </row>
    <row r="86" spans="1:5">
      <c r="A86" s="79"/>
      <c r="B86" s="86"/>
      <c r="C86" s="86"/>
      <c r="D86" s="86"/>
      <c r="E86" s="86"/>
    </row>
    <row r="87" spans="1:5">
      <c r="A87" s="79"/>
      <c r="B87" s="86"/>
      <c r="C87" s="86"/>
      <c r="D87" s="86"/>
      <c r="E87" s="86"/>
    </row>
    <row r="88" spans="1:5">
      <c r="A88" s="79"/>
      <c r="B88" s="86"/>
      <c r="C88" s="86"/>
      <c r="D88" s="86"/>
      <c r="E88" s="86"/>
    </row>
    <row r="89" spans="1:5">
      <c r="A89" s="79"/>
      <c r="B89" s="86"/>
      <c r="C89" s="86"/>
      <c r="D89" s="86"/>
      <c r="E89" s="86"/>
    </row>
    <row r="90" spans="1:5">
      <c r="A90" s="79"/>
      <c r="B90" s="86"/>
      <c r="C90" s="86"/>
      <c r="D90" s="86"/>
      <c r="E90" s="86"/>
    </row>
    <row r="91" spans="1:5">
      <c r="A91" s="79"/>
      <c r="B91" s="86"/>
      <c r="C91" s="86"/>
      <c r="D91" s="86"/>
      <c r="E91" s="86"/>
    </row>
    <row r="92" spans="1:5">
      <c r="A92" s="79"/>
      <c r="B92" s="86"/>
      <c r="C92" s="86"/>
      <c r="D92" s="86"/>
      <c r="E92" s="86"/>
    </row>
    <row r="93" spans="1:5">
      <c r="A93" s="79"/>
      <c r="B93" s="86"/>
      <c r="C93" s="86"/>
      <c r="D93" s="86"/>
      <c r="E93" s="86"/>
    </row>
    <row r="94" spans="1:5">
      <c r="A94" s="79"/>
      <c r="B94" s="86"/>
      <c r="C94" s="86"/>
      <c r="D94" s="86"/>
      <c r="E94" s="86"/>
    </row>
    <row r="95" spans="1:5">
      <c r="A95" s="79"/>
      <c r="B95" s="86"/>
      <c r="C95" s="86"/>
      <c r="D95" s="86"/>
      <c r="E95" s="86"/>
    </row>
    <row r="96" spans="1:5">
      <c r="A96" s="79"/>
      <c r="B96" s="86"/>
      <c r="C96" s="86"/>
      <c r="D96" s="86"/>
      <c r="E96" s="86"/>
    </row>
    <row r="97" spans="1:5">
      <c r="A97" s="79"/>
      <c r="B97" s="86"/>
      <c r="C97" s="86"/>
      <c r="D97" s="86"/>
      <c r="E97" s="86"/>
    </row>
    <row r="98" spans="1:5">
      <c r="A98" s="79"/>
      <c r="B98" s="86"/>
      <c r="C98" s="86"/>
      <c r="D98" s="86"/>
      <c r="E98" s="86"/>
    </row>
    <row r="99" spans="1:5">
      <c r="A99" s="79"/>
      <c r="B99" s="86"/>
      <c r="C99" s="86"/>
      <c r="D99" s="86"/>
      <c r="E99" s="86"/>
    </row>
    <row r="100" spans="1:5">
      <c r="A100" s="79"/>
      <c r="B100" s="86"/>
      <c r="C100" s="86"/>
      <c r="D100" s="86"/>
      <c r="E100" s="86"/>
    </row>
    <row r="101" spans="1:5">
      <c r="A101" s="79"/>
      <c r="B101" s="86"/>
      <c r="C101" s="86"/>
      <c r="D101" s="86"/>
      <c r="E101" s="86"/>
    </row>
    <row r="102" spans="1:5">
      <c r="A102" s="79"/>
      <c r="B102" s="86"/>
      <c r="C102" s="86"/>
      <c r="D102" s="86"/>
      <c r="E102" s="86"/>
    </row>
    <row r="103" spans="1:5">
      <c r="A103" s="79"/>
      <c r="B103" s="86"/>
      <c r="C103" s="86"/>
      <c r="D103" s="86"/>
      <c r="E103" s="86"/>
    </row>
    <row r="104" spans="1:5">
      <c r="A104" s="79"/>
      <c r="B104" s="86"/>
      <c r="C104" s="86"/>
      <c r="D104" s="86"/>
      <c r="E104" s="86"/>
    </row>
    <row r="105" spans="1:5">
      <c r="A105" s="79"/>
      <c r="B105" s="86"/>
      <c r="C105" s="86"/>
      <c r="D105" s="86"/>
      <c r="E105" s="86"/>
    </row>
    <row r="106" spans="1:5">
      <c r="A106" s="79"/>
      <c r="B106" s="86"/>
      <c r="C106" s="86"/>
      <c r="D106" s="86"/>
      <c r="E106" s="86"/>
    </row>
    <row r="107" spans="1:5">
      <c r="A107" s="79"/>
      <c r="B107" s="86"/>
      <c r="C107" s="86"/>
      <c r="D107" s="86"/>
      <c r="E107" s="86"/>
    </row>
    <row r="108" spans="1:5">
      <c r="A108" s="79"/>
      <c r="B108" s="86"/>
      <c r="C108" s="86"/>
      <c r="D108" s="86"/>
      <c r="E108" s="86"/>
    </row>
    <row r="109" spans="1:5">
      <c r="A109" s="79"/>
      <c r="B109" s="86"/>
      <c r="C109" s="86"/>
      <c r="D109" s="86"/>
      <c r="E109" s="86"/>
    </row>
    <row r="110" spans="1:5">
      <c r="A110" s="79"/>
      <c r="B110" s="86"/>
      <c r="C110" s="86"/>
      <c r="D110" s="86"/>
      <c r="E110" s="86"/>
    </row>
    <row r="111" spans="1:5">
      <c r="A111" s="79"/>
      <c r="B111" s="86"/>
      <c r="C111" s="86"/>
      <c r="D111" s="86"/>
      <c r="E111" s="86"/>
    </row>
    <row r="112" spans="1:5">
      <c r="A112" s="79"/>
      <c r="B112" s="86"/>
      <c r="C112" s="86"/>
      <c r="D112" s="86"/>
      <c r="E112" s="86"/>
    </row>
    <row r="113" spans="1:5">
      <c r="A113" s="85"/>
      <c r="B113" s="86"/>
      <c r="C113" s="86"/>
      <c r="D113" s="86"/>
      <c r="E113" s="86"/>
    </row>
    <row r="114" spans="1:5">
      <c r="A114" s="85"/>
      <c r="B114" s="86"/>
      <c r="C114" s="86"/>
      <c r="D114" s="86"/>
      <c r="E114" s="86"/>
    </row>
    <row r="115" spans="1:5">
      <c r="A115" s="85"/>
      <c r="B115" s="86"/>
      <c r="C115" s="86"/>
      <c r="D115" s="86"/>
      <c r="E115" s="86"/>
    </row>
    <row r="116" spans="1:5">
      <c r="A116" s="85"/>
      <c r="B116" s="86"/>
      <c r="C116" s="86"/>
      <c r="D116" s="86"/>
      <c r="E116" s="86"/>
    </row>
    <row r="117" spans="1:5">
      <c r="A117" s="85"/>
      <c r="B117" s="84"/>
      <c r="C117" s="84"/>
      <c r="D117" s="84"/>
      <c r="E117" s="84"/>
    </row>
    <row r="118" spans="1:5">
      <c r="A118" s="85"/>
      <c r="B118" s="84"/>
      <c r="C118" s="84"/>
      <c r="D118" s="84"/>
      <c r="E118" s="84"/>
    </row>
    <row r="119" spans="1:5">
      <c r="A119" s="85"/>
      <c r="B119" s="84"/>
      <c r="C119" s="84"/>
      <c r="D119" s="84"/>
      <c r="E119" s="84"/>
    </row>
    <row r="120" spans="1:5">
      <c r="A120" s="85"/>
      <c r="B120" s="84"/>
      <c r="C120" s="84"/>
      <c r="D120" s="84"/>
      <c r="E120" s="84"/>
    </row>
    <row r="121" spans="1:5">
      <c r="A121" s="85"/>
      <c r="B121" s="84"/>
      <c r="C121" s="84"/>
      <c r="D121" s="84"/>
      <c r="E121" s="84"/>
    </row>
    <row r="122" spans="1:5">
      <c r="A122" s="85"/>
      <c r="B122" s="84"/>
      <c r="C122" s="84"/>
      <c r="D122" s="84"/>
      <c r="E122" s="84"/>
    </row>
    <row r="123" spans="1:5">
      <c r="A123" s="85"/>
      <c r="B123" s="84"/>
      <c r="C123" s="84"/>
      <c r="D123" s="84"/>
      <c r="E123" s="84"/>
    </row>
    <row r="124" spans="1:5">
      <c r="A124" s="85"/>
      <c r="B124" s="84"/>
      <c r="C124" s="84"/>
      <c r="D124" s="84"/>
      <c r="E124" s="84"/>
    </row>
    <row r="125" spans="1:5">
      <c r="A125" s="85"/>
      <c r="B125" s="84"/>
      <c r="C125" s="84"/>
      <c r="D125" s="84"/>
      <c r="E125" s="84"/>
    </row>
    <row r="126" spans="1:5">
      <c r="A126" s="85"/>
      <c r="B126" s="84"/>
      <c r="C126" s="84"/>
      <c r="D126" s="84"/>
      <c r="E126" s="84"/>
    </row>
    <row r="127" spans="1:5">
      <c r="A127" s="85"/>
      <c r="B127" s="84"/>
      <c r="C127" s="84"/>
      <c r="D127" s="84"/>
      <c r="E127" s="84"/>
    </row>
    <row r="128" spans="1:5">
      <c r="A128" s="85"/>
      <c r="B128" s="84"/>
      <c r="C128" s="84"/>
      <c r="D128" s="84"/>
      <c r="E128" s="84"/>
    </row>
    <row r="129" spans="1:5">
      <c r="A129" s="85"/>
      <c r="B129" s="84"/>
      <c r="C129" s="84"/>
      <c r="D129" s="84"/>
      <c r="E129" s="84"/>
    </row>
    <row r="130" spans="1:5">
      <c r="A130" s="85"/>
      <c r="B130" s="84"/>
      <c r="C130" s="84"/>
      <c r="D130" s="84"/>
      <c r="E130" s="84"/>
    </row>
    <row r="131" spans="1:5">
      <c r="A131" s="85"/>
      <c r="B131" s="84"/>
      <c r="C131" s="84"/>
      <c r="D131" s="84"/>
      <c r="E131" s="84"/>
    </row>
    <row r="132" spans="1:5">
      <c r="A132" s="85"/>
      <c r="B132" s="84"/>
      <c r="C132" s="84"/>
      <c r="D132" s="84"/>
      <c r="E132" s="84"/>
    </row>
    <row r="133" spans="1:5">
      <c r="A133" s="85"/>
      <c r="B133" s="84"/>
      <c r="C133" s="84"/>
      <c r="D133" s="84"/>
      <c r="E133" s="84"/>
    </row>
    <row r="134" spans="1:5">
      <c r="A134" s="85"/>
      <c r="B134" s="84"/>
      <c r="C134" s="84"/>
      <c r="D134" s="84"/>
      <c r="E134" s="84"/>
    </row>
    <row r="135" spans="1:5">
      <c r="A135" s="85"/>
      <c r="B135" s="84"/>
      <c r="C135" s="84"/>
      <c r="D135" s="84"/>
      <c r="E135" s="84"/>
    </row>
    <row r="136" spans="1:5">
      <c r="A136" s="85"/>
      <c r="B136" s="84"/>
      <c r="C136" s="84"/>
      <c r="D136" s="84"/>
      <c r="E136" s="84"/>
    </row>
    <row r="137" spans="1:5">
      <c r="A137" s="85"/>
      <c r="B137" s="84"/>
      <c r="C137" s="84"/>
      <c r="D137" s="84"/>
      <c r="E137" s="84"/>
    </row>
    <row r="138" spans="1:5">
      <c r="A138" s="85"/>
      <c r="B138" s="84"/>
      <c r="C138" s="84"/>
      <c r="D138" s="84"/>
      <c r="E138" s="84"/>
    </row>
    <row r="139" spans="1:5">
      <c r="A139" s="85"/>
      <c r="B139" s="84"/>
      <c r="C139" s="84"/>
      <c r="D139" s="84"/>
      <c r="E139" s="84"/>
    </row>
    <row r="140" spans="1:5">
      <c r="A140" s="85"/>
      <c r="B140" s="84"/>
      <c r="C140" s="84"/>
      <c r="D140" s="84"/>
      <c r="E140" s="84"/>
    </row>
    <row r="141" spans="1:5">
      <c r="A141" s="85"/>
      <c r="B141" s="84"/>
      <c r="C141" s="84"/>
      <c r="D141" s="84"/>
      <c r="E141" s="84"/>
    </row>
    <row r="142" spans="1:5">
      <c r="A142" s="85"/>
      <c r="B142" s="84"/>
      <c r="C142" s="84"/>
      <c r="D142" s="84"/>
      <c r="E142" s="84"/>
    </row>
    <row r="143" spans="1:5">
      <c r="A143" s="85"/>
      <c r="B143" s="84"/>
      <c r="C143" s="84"/>
      <c r="D143" s="84"/>
      <c r="E143" s="84"/>
    </row>
    <row r="144" spans="1:5">
      <c r="A144" s="85"/>
      <c r="B144" s="84"/>
      <c r="C144" s="84"/>
      <c r="D144" s="84"/>
      <c r="E144" s="84"/>
    </row>
    <row r="145" spans="1:5">
      <c r="A145" s="85"/>
      <c r="B145" s="84"/>
      <c r="C145" s="84"/>
      <c r="D145" s="84"/>
      <c r="E145" s="84"/>
    </row>
    <row r="146" spans="1:5">
      <c r="A146" s="85"/>
      <c r="B146" s="84"/>
      <c r="C146" s="84"/>
      <c r="D146" s="84"/>
      <c r="E146" s="84"/>
    </row>
    <row r="147" spans="1:5">
      <c r="A147" s="85"/>
      <c r="B147" s="84"/>
      <c r="C147" s="84"/>
      <c r="D147" s="84"/>
      <c r="E147" s="84"/>
    </row>
    <row r="148" spans="1:5">
      <c r="A148" s="85"/>
      <c r="B148" s="84"/>
      <c r="C148" s="84"/>
      <c r="D148" s="84"/>
      <c r="E148" s="84"/>
    </row>
    <row r="149" spans="1:5">
      <c r="A149" s="85"/>
      <c r="B149" s="84"/>
      <c r="C149" s="84"/>
      <c r="D149" s="84"/>
      <c r="E149" s="84"/>
    </row>
    <row r="150" spans="1:5">
      <c r="A150" s="85"/>
      <c r="B150" s="84"/>
      <c r="C150" s="84"/>
      <c r="D150" s="84"/>
      <c r="E150" s="84"/>
    </row>
    <row r="151" spans="1:5">
      <c r="A151" s="85"/>
      <c r="B151" s="84"/>
      <c r="C151" s="84"/>
      <c r="D151" s="84"/>
      <c r="E151" s="84"/>
    </row>
    <row r="152" spans="1:5">
      <c r="A152" s="85"/>
      <c r="B152" s="84"/>
      <c r="C152" s="84"/>
      <c r="D152" s="84"/>
      <c r="E152" s="84"/>
    </row>
    <row r="153" spans="1:5">
      <c r="A153" s="85"/>
      <c r="B153" s="84"/>
      <c r="C153" s="84"/>
      <c r="D153" s="84"/>
      <c r="E153" s="84"/>
    </row>
    <row r="154" spans="1:5">
      <c r="A154" s="85"/>
      <c r="B154" s="84"/>
      <c r="C154" s="84"/>
      <c r="D154" s="84"/>
      <c r="E154" s="84"/>
    </row>
    <row r="155" spans="1:5">
      <c r="A155" s="85"/>
      <c r="B155" s="84"/>
      <c r="C155" s="84"/>
      <c r="D155" s="84"/>
      <c r="E155" s="84"/>
    </row>
    <row r="156" spans="1:5">
      <c r="A156" s="85"/>
      <c r="B156" s="84"/>
      <c r="C156" s="84"/>
      <c r="D156" s="84"/>
      <c r="E156" s="84"/>
    </row>
    <row r="157" spans="1:5">
      <c r="A157" s="85"/>
      <c r="B157" s="84"/>
      <c r="C157" s="84"/>
      <c r="D157" s="84"/>
      <c r="E157" s="84"/>
    </row>
    <row r="158" spans="1:5">
      <c r="A158" s="85"/>
      <c r="B158" s="84"/>
      <c r="C158" s="84"/>
      <c r="D158" s="84"/>
      <c r="E158" s="84"/>
    </row>
    <row r="159" spans="1:5">
      <c r="A159" s="85"/>
      <c r="B159" s="84"/>
      <c r="C159" s="84"/>
      <c r="D159" s="84"/>
      <c r="E159" s="84"/>
    </row>
    <row r="160" spans="1:5">
      <c r="A160" s="85"/>
      <c r="B160" s="84"/>
      <c r="C160" s="84"/>
      <c r="D160" s="84"/>
      <c r="E160" s="84"/>
    </row>
    <row r="161" spans="1:5">
      <c r="A161" s="85"/>
      <c r="B161" s="84"/>
      <c r="C161" s="84"/>
      <c r="D161" s="84"/>
      <c r="E161" s="84"/>
    </row>
    <row r="162" spans="1:5">
      <c r="A162" s="85"/>
      <c r="B162" s="84"/>
      <c r="C162" s="84"/>
      <c r="D162" s="84"/>
      <c r="E162" s="84"/>
    </row>
    <row r="163" spans="1:5">
      <c r="A163" s="85"/>
      <c r="B163" s="84"/>
      <c r="C163" s="84"/>
      <c r="D163" s="84"/>
      <c r="E163" s="84"/>
    </row>
    <row r="164" spans="1:5">
      <c r="A164" s="85"/>
      <c r="B164" s="84"/>
      <c r="C164" s="84"/>
      <c r="D164" s="84"/>
      <c r="E164" s="84"/>
    </row>
    <row r="165" spans="1:5">
      <c r="A165" s="85"/>
      <c r="B165" s="84"/>
      <c r="C165" s="84"/>
      <c r="D165" s="84"/>
      <c r="E165" s="84"/>
    </row>
    <row r="166" spans="1:5">
      <c r="A166" s="85"/>
      <c r="B166" s="84"/>
      <c r="C166" s="84"/>
      <c r="D166" s="84"/>
      <c r="E166" s="84"/>
    </row>
    <row r="167" spans="1:5">
      <c r="A167" s="85"/>
      <c r="B167" s="84"/>
      <c r="C167" s="84"/>
      <c r="D167" s="84"/>
      <c r="E167" s="84"/>
    </row>
    <row r="168" spans="1:5">
      <c r="A168" s="85"/>
      <c r="B168" s="84"/>
      <c r="C168" s="84"/>
      <c r="D168" s="84"/>
      <c r="E168" s="84"/>
    </row>
    <row r="169" spans="1:5">
      <c r="A169" s="85"/>
      <c r="B169" s="84"/>
      <c r="C169" s="84"/>
      <c r="D169" s="84"/>
      <c r="E169" s="84"/>
    </row>
    <row r="170" spans="1:5">
      <c r="A170" s="85"/>
      <c r="B170" s="84"/>
      <c r="C170" s="84"/>
      <c r="D170" s="84"/>
      <c r="E170" s="84"/>
    </row>
    <row r="171" spans="1:5">
      <c r="A171" s="85"/>
      <c r="B171" s="84"/>
      <c r="C171" s="84"/>
      <c r="D171" s="84"/>
      <c r="E171" s="84"/>
    </row>
    <row r="172" spans="1:5">
      <c r="A172" s="85"/>
      <c r="B172" s="84"/>
      <c r="C172" s="84"/>
      <c r="D172" s="84"/>
      <c r="E172" s="84"/>
    </row>
    <row r="173" spans="1:5">
      <c r="A173" s="85"/>
      <c r="B173" s="84"/>
      <c r="C173" s="84"/>
      <c r="D173" s="84"/>
      <c r="E173" s="84"/>
    </row>
    <row r="174" spans="1:5">
      <c r="A174" s="85"/>
      <c r="B174" s="84"/>
      <c r="C174" s="84"/>
      <c r="D174" s="84"/>
      <c r="E174" s="84"/>
    </row>
    <row r="175" spans="1:5">
      <c r="A175" s="85"/>
      <c r="B175" s="84"/>
      <c r="C175" s="84"/>
      <c r="D175" s="84"/>
      <c r="E175" s="84"/>
    </row>
    <row r="176" spans="1:5">
      <c r="A176" s="85"/>
      <c r="B176" s="84"/>
      <c r="C176" s="84"/>
      <c r="D176" s="84"/>
      <c r="E176" s="84"/>
    </row>
    <row r="177" spans="1:5">
      <c r="A177" s="85"/>
      <c r="B177" s="84"/>
      <c r="C177" s="84"/>
      <c r="D177" s="84"/>
      <c r="E177" s="84"/>
    </row>
    <row r="178" spans="1:5">
      <c r="A178" s="85"/>
      <c r="B178" s="84"/>
      <c r="C178" s="84"/>
      <c r="D178" s="84"/>
      <c r="E178" s="84"/>
    </row>
    <row r="179" spans="1:5">
      <c r="A179" s="85"/>
      <c r="B179" s="84"/>
      <c r="C179" s="84"/>
      <c r="D179" s="84"/>
      <c r="E179" s="84"/>
    </row>
    <row r="180" spans="1:5">
      <c r="A180" s="85"/>
      <c r="B180" s="84"/>
      <c r="C180" s="84"/>
      <c r="D180" s="84"/>
      <c r="E180" s="84"/>
    </row>
    <row r="181" spans="1:5">
      <c r="A181" s="85"/>
      <c r="B181" s="84"/>
      <c r="C181" s="84"/>
      <c r="D181" s="84"/>
      <c r="E181" s="84"/>
    </row>
    <row r="182" spans="1:5">
      <c r="A182" s="85"/>
      <c r="B182" s="84"/>
      <c r="C182" s="84"/>
      <c r="D182" s="84"/>
      <c r="E182" s="84"/>
    </row>
    <row r="183" spans="1:5">
      <c r="A183" s="85"/>
      <c r="B183" s="84"/>
      <c r="C183" s="84"/>
      <c r="D183" s="84"/>
      <c r="E183" s="84"/>
    </row>
    <row r="184" spans="1:5">
      <c r="A184" s="85"/>
      <c r="B184" s="84"/>
      <c r="C184" s="84"/>
      <c r="D184" s="84"/>
      <c r="E184" s="84"/>
    </row>
    <row r="185" spans="1:5">
      <c r="A185" s="85"/>
      <c r="B185" s="84"/>
      <c r="C185" s="84"/>
      <c r="D185" s="84"/>
      <c r="E185" s="84"/>
    </row>
    <row r="186" spans="1:5">
      <c r="A186" s="85"/>
      <c r="B186" s="84"/>
      <c r="C186" s="84"/>
      <c r="D186" s="84"/>
      <c r="E186" s="84"/>
    </row>
    <row r="187" spans="1:5">
      <c r="A187" s="85"/>
      <c r="B187" s="84"/>
      <c r="C187" s="84"/>
      <c r="D187" s="84"/>
      <c r="E187" s="84"/>
    </row>
    <row r="188" spans="1:5">
      <c r="A188" s="85"/>
      <c r="B188" s="84"/>
      <c r="C188" s="84"/>
      <c r="D188" s="84"/>
      <c r="E188" s="84"/>
    </row>
    <row r="189" spans="1:5">
      <c r="A189" s="85"/>
      <c r="B189" s="84"/>
      <c r="C189" s="84"/>
      <c r="D189" s="84"/>
      <c r="E189" s="84"/>
    </row>
    <row r="190" spans="1:5">
      <c r="A190" s="85"/>
      <c r="B190" s="84"/>
      <c r="C190" s="84"/>
      <c r="D190" s="84"/>
      <c r="E190" s="84"/>
    </row>
    <row r="191" spans="1:5">
      <c r="A191" s="85"/>
      <c r="B191" s="84"/>
      <c r="C191" s="84"/>
      <c r="D191" s="84"/>
      <c r="E191" s="84"/>
    </row>
    <row r="192" spans="1:5">
      <c r="A192" s="85"/>
      <c r="B192" s="84"/>
      <c r="C192" s="84"/>
      <c r="D192" s="84"/>
      <c r="E192" s="84"/>
    </row>
    <row r="193" spans="1:5">
      <c r="A193" s="85"/>
      <c r="B193" s="84"/>
      <c r="C193" s="84"/>
      <c r="D193" s="84"/>
      <c r="E193" s="84"/>
    </row>
    <row r="194" spans="1:5">
      <c r="A194" s="85"/>
      <c r="B194" s="84"/>
      <c r="C194" s="84"/>
      <c r="D194" s="84"/>
      <c r="E194" s="84"/>
    </row>
    <row r="195" spans="1:5">
      <c r="A195" s="85"/>
      <c r="B195" s="84"/>
      <c r="C195" s="84"/>
      <c r="D195" s="84"/>
      <c r="E195" s="84"/>
    </row>
    <row r="196" spans="1:5">
      <c r="A196" s="85"/>
      <c r="B196" s="84"/>
      <c r="C196" s="84"/>
      <c r="D196" s="84"/>
      <c r="E196" s="84"/>
    </row>
    <row r="197" spans="1:5">
      <c r="A197" s="85"/>
      <c r="B197" s="84"/>
      <c r="C197" s="84"/>
      <c r="D197" s="84"/>
      <c r="E197" s="84"/>
    </row>
    <row r="198" spans="1:5">
      <c r="A198" s="85"/>
      <c r="B198" s="84"/>
      <c r="C198" s="84"/>
      <c r="D198" s="84"/>
      <c r="E198" s="84"/>
    </row>
    <row r="199" spans="1:5">
      <c r="A199" s="85"/>
      <c r="B199" s="84"/>
      <c r="C199" s="84"/>
      <c r="D199" s="84"/>
      <c r="E199" s="84"/>
    </row>
    <row r="200" spans="1:5">
      <c r="A200" s="85"/>
      <c r="B200" s="84"/>
      <c r="C200" s="84"/>
      <c r="D200" s="84"/>
      <c r="E200" s="84"/>
    </row>
    <row r="201" spans="1:5">
      <c r="A201" s="85"/>
      <c r="B201" s="84"/>
      <c r="C201" s="84"/>
      <c r="D201" s="84"/>
      <c r="E201" s="84"/>
    </row>
    <row r="202" spans="1:5">
      <c r="A202" s="85"/>
      <c r="B202" s="84"/>
      <c r="C202" s="84"/>
      <c r="D202" s="84"/>
      <c r="E202" s="84"/>
    </row>
    <row r="203" spans="1:5">
      <c r="A203" s="85"/>
      <c r="B203" s="84"/>
      <c r="C203" s="84"/>
      <c r="D203" s="84"/>
      <c r="E203" s="84"/>
    </row>
    <row r="204" spans="1:5">
      <c r="A204" s="85"/>
      <c r="B204" s="84"/>
      <c r="C204" s="84"/>
      <c r="D204" s="84"/>
      <c r="E204" s="84"/>
    </row>
    <row r="205" spans="1:5">
      <c r="A205" s="85"/>
      <c r="B205" s="84"/>
      <c r="C205" s="84"/>
      <c r="D205" s="84"/>
      <c r="E205" s="84"/>
    </row>
    <row r="206" spans="1:5">
      <c r="A206" s="85"/>
      <c r="B206" s="84"/>
      <c r="C206" s="84"/>
      <c r="D206" s="84"/>
      <c r="E206" s="84"/>
    </row>
    <row r="207" spans="1:5">
      <c r="A207" s="85"/>
      <c r="B207" s="84"/>
      <c r="C207" s="84"/>
      <c r="D207" s="84"/>
      <c r="E207" s="84"/>
    </row>
    <row r="208" spans="1:5">
      <c r="A208" s="85"/>
      <c r="B208" s="84"/>
      <c r="C208" s="84"/>
      <c r="D208" s="84"/>
      <c r="E208" s="84"/>
    </row>
    <row r="209" spans="1:5">
      <c r="A209" s="85"/>
      <c r="B209" s="84"/>
      <c r="C209" s="84"/>
      <c r="D209" s="84"/>
      <c r="E209" s="84"/>
    </row>
    <row r="210" spans="1:5">
      <c r="A210" s="85"/>
      <c r="B210" s="84"/>
      <c r="C210" s="84"/>
      <c r="D210" s="84"/>
      <c r="E210" s="84"/>
    </row>
    <row r="211" spans="1:5">
      <c r="A211" s="85"/>
      <c r="B211" s="84"/>
      <c r="C211" s="84"/>
      <c r="D211" s="84"/>
      <c r="E211" s="84"/>
    </row>
  </sheetData>
  <phoneticPr fontId="8" type="noConversion"/>
  <dataValidations count="1">
    <dataValidation type="textLength" operator="lessThan" allowBlank="1" showInputMessage="1" showErrorMessage="1" errorTitle="Header Info" error="This information must be entered via the &quot;Header Info&quot; menu button." sqref="C1" xr:uid="{00000000-0002-0000-0300-000000000000}">
      <formula1>0</formula1>
    </dataValidation>
  </dataValidations>
  <printOptions horizontalCentered="1"/>
  <pageMargins left="0.25" right="0.25" top="0.5" bottom="0.5" header="0" footer="0"/>
  <pageSetup scale="89" orientation="portrait" r:id="rId1"/>
  <headerFooter alignWithMargins="0">
    <oddHeader>&amp;L&amp;8Form # EN-7.3-F-VDP0960A (23-Feb-06)&amp;R&amp;8GM NAPD</oddHeader>
    <oddFooter>&amp;L&amp;8
Printed: &amp;D&amp;C&amp;8
GM Confidential&amp;R&amp;8Page  &amp;P  of  &amp;N
&amp;F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kNumber">
              <controlPr defaultSize="0" print="0" autoFill="0" autoLine="0" autoPict="0">
                <anchor>
                  <from>
                    <xdr:col>0</xdr:col>
                    <xdr:colOff>0</xdr:colOff>
                    <xdr:row>1</xdr:row>
                    <xdr:rowOff>107950</xdr:rowOff>
                  </from>
                  <to>
                    <xdr:col>1</xdr:col>
                    <xdr:colOff>393700</xdr:colOff>
                    <xdr:row>3</xdr:row>
                    <xdr:rowOff>12700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
  <sheetViews>
    <sheetView view="pageBreakPreview" zoomScale="55" zoomScaleNormal="100" zoomScaleSheetLayoutView="55" workbookViewId="0">
      <selection activeCell="E1" sqref="E1:J3"/>
    </sheetView>
  </sheetViews>
  <sheetFormatPr defaultColWidth="9.81640625" defaultRowHeight="14"/>
  <cols>
    <col min="1" max="1" width="13.453125" style="110" customWidth="1"/>
    <col min="2" max="2" width="4.54296875" style="110" customWidth="1"/>
    <col min="3" max="3" width="8" style="110" customWidth="1"/>
    <col min="4" max="4" width="0.26953125" style="110" customWidth="1"/>
    <col min="5" max="5" width="4.54296875" style="110" customWidth="1"/>
    <col min="6" max="6" width="9.453125" style="110" customWidth="1"/>
    <col min="7" max="7" width="13.54296875" style="110" customWidth="1"/>
    <col min="8" max="8" width="11.1796875" style="110" customWidth="1"/>
    <col min="9" max="9" width="9.453125" style="110" customWidth="1"/>
    <col min="10" max="10" width="42.81640625" style="110" customWidth="1"/>
    <col min="11" max="14" width="9.81640625" style="110"/>
    <col min="15" max="15" width="1.54296875" style="110" customWidth="1"/>
    <col min="16" max="16384" width="9.81640625" style="110"/>
  </cols>
  <sheetData>
    <row r="1" spans="1:13" ht="30.75" customHeight="1">
      <c r="A1" s="232"/>
      <c r="B1" s="232"/>
      <c r="C1" s="232"/>
      <c r="D1" s="232"/>
      <c r="E1" s="224" t="s">
        <v>723</v>
      </c>
      <c r="F1" s="225"/>
      <c r="G1" s="225"/>
      <c r="H1" s="225"/>
      <c r="I1" s="225"/>
      <c r="J1" s="225"/>
      <c r="K1" s="113" t="s">
        <v>197</v>
      </c>
      <c r="L1" s="230" t="s">
        <v>641</v>
      </c>
      <c r="M1" s="230"/>
    </row>
    <row r="2" spans="1:13" ht="30" customHeight="1">
      <c r="A2" s="232"/>
      <c r="B2" s="232"/>
      <c r="C2" s="232"/>
      <c r="D2" s="232"/>
      <c r="E2" s="226"/>
      <c r="F2" s="227"/>
      <c r="G2" s="227"/>
      <c r="H2" s="227"/>
      <c r="I2" s="227"/>
      <c r="J2" s="227"/>
      <c r="K2" s="113" t="s">
        <v>198</v>
      </c>
      <c r="L2" s="230" t="s">
        <v>669</v>
      </c>
      <c r="M2" s="230"/>
    </row>
    <row r="3" spans="1:13" ht="29.25" customHeight="1">
      <c r="A3" s="232"/>
      <c r="B3" s="232"/>
      <c r="C3" s="232"/>
      <c r="D3" s="232"/>
      <c r="E3" s="228"/>
      <c r="F3" s="229"/>
      <c r="G3" s="229"/>
      <c r="H3" s="229"/>
      <c r="I3" s="229"/>
      <c r="J3" s="229"/>
      <c r="K3" s="113" t="s">
        <v>196</v>
      </c>
      <c r="L3" s="231">
        <v>46090</v>
      </c>
      <c r="M3" s="230"/>
    </row>
    <row r="4" spans="1:13" ht="20.149999999999999" customHeight="1">
      <c r="A4" s="111"/>
      <c r="B4" s="111"/>
      <c r="C4" s="111"/>
      <c r="D4" s="112"/>
      <c r="E4" s="112"/>
      <c r="F4" s="112"/>
      <c r="G4" s="112"/>
      <c r="H4" s="112"/>
    </row>
    <row r="5" spans="1:13" ht="20.149999999999999" customHeight="1">
      <c r="A5" s="111"/>
      <c r="B5" s="111"/>
      <c r="C5" s="111"/>
      <c r="D5" s="112"/>
      <c r="E5" s="112"/>
      <c r="F5" s="112"/>
      <c r="G5" s="112"/>
      <c r="H5" s="112"/>
    </row>
    <row r="6" spans="1:13" ht="20.149999999999999" customHeight="1">
      <c r="A6" s="111"/>
      <c r="B6" s="111"/>
      <c r="C6" s="111"/>
      <c r="D6" s="111"/>
      <c r="E6" s="111"/>
      <c r="F6" s="111"/>
      <c r="G6" s="111"/>
      <c r="H6" s="111"/>
    </row>
    <row r="7" spans="1:13" ht="20.149999999999999" customHeight="1">
      <c r="A7" s="111"/>
      <c r="B7" s="111"/>
      <c r="C7" s="111"/>
      <c r="D7" s="111"/>
      <c r="E7" s="111"/>
      <c r="F7" s="111"/>
      <c r="G7" s="111"/>
      <c r="H7" s="111"/>
    </row>
    <row r="8" spans="1:13" ht="20.149999999999999" customHeight="1">
      <c r="A8" s="111"/>
      <c r="B8" s="111"/>
      <c r="C8" s="111"/>
      <c r="D8" s="111"/>
      <c r="E8" s="111"/>
      <c r="F8" s="111"/>
      <c r="G8" s="111"/>
      <c r="H8" s="111"/>
    </row>
    <row r="9" spans="1:13" ht="20.149999999999999" customHeight="1">
      <c r="A9" s="111"/>
      <c r="B9" s="111"/>
      <c r="C9" s="111"/>
      <c r="D9" s="111"/>
      <c r="E9" s="111"/>
      <c r="F9" s="111"/>
      <c r="G9" s="111"/>
      <c r="H9" s="111"/>
    </row>
    <row r="10" spans="1:13" ht="31.5" customHeight="1">
      <c r="C10" s="223"/>
      <c r="D10" s="223"/>
      <c r="E10" s="125"/>
      <c r="F10" s="126"/>
      <c r="G10" s="118"/>
      <c r="H10" s="117"/>
      <c r="I10" s="117"/>
      <c r="J10" s="118"/>
    </row>
    <row r="11" spans="1:13" ht="31.5" customHeight="1">
      <c r="A11" s="233" t="s">
        <v>724</v>
      </c>
      <c r="B11" s="234"/>
      <c r="C11" s="234"/>
      <c r="D11" s="234"/>
      <c r="E11" s="234"/>
      <c r="F11" s="234"/>
      <c r="G11" s="234"/>
      <c r="H11" s="234"/>
      <c r="I11" s="234"/>
      <c r="J11" s="234"/>
      <c r="K11" s="234"/>
      <c r="L11" s="234"/>
      <c r="M11" s="234"/>
    </row>
    <row r="12" spans="1:13" ht="62.5" customHeight="1">
      <c r="A12" s="234"/>
      <c r="B12" s="234"/>
      <c r="C12" s="234"/>
      <c r="D12" s="234"/>
      <c r="E12" s="234"/>
      <c r="F12" s="234"/>
      <c r="G12" s="234"/>
      <c r="H12" s="234"/>
      <c r="I12" s="234"/>
      <c r="J12" s="234"/>
      <c r="K12" s="234"/>
      <c r="L12" s="234"/>
      <c r="M12" s="234"/>
    </row>
    <row r="13" spans="1:13" ht="31.5" customHeight="1">
      <c r="C13" s="223"/>
      <c r="D13" s="223"/>
      <c r="E13" s="125"/>
      <c r="F13" s="126"/>
      <c r="G13" s="118"/>
      <c r="H13" s="117"/>
      <c r="I13" s="118"/>
      <c r="J13" s="118"/>
    </row>
    <row r="14" spans="1:13" ht="72" customHeight="1">
      <c r="A14" s="219"/>
      <c r="B14" s="219"/>
      <c r="C14" s="219"/>
      <c r="D14" s="219"/>
      <c r="E14" s="219"/>
      <c r="F14" s="219"/>
      <c r="G14" s="219"/>
      <c r="H14" s="219"/>
      <c r="I14" s="219"/>
      <c r="J14" s="219"/>
      <c r="K14" s="219"/>
      <c r="L14" s="219"/>
      <c r="M14" s="219"/>
    </row>
    <row r="15" spans="1:13" ht="20.149999999999999" customHeight="1"/>
    <row r="16" spans="1:13" ht="20.149999999999999" customHeight="1"/>
    <row r="17" spans="1:13" ht="20.149999999999999" customHeight="1"/>
    <row r="18" spans="1:13" ht="20.149999999999999" customHeight="1">
      <c r="A18" s="111"/>
      <c r="B18" s="111"/>
      <c r="C18" s="111"/>
      <c r="D18" s="111"/>
      <c r="E18" s="111"/>
      <c r="F18" s="111"/>
      <c r="G18" s="111"/>
      <c r="H18" s="111"/>
      <c r="I18" s="111"/>
      <c r="J18" s="111"/>
      <c r="K18" s="111"/>
      <c r="L18" s="111"/>
      <c r="M18" s="111"/>
    </row>
    <row r="19" spans="1:13">
      <c r="A19" s="220"/>
      <c r="B19" s="221"/>
      <c r="C19" s="221"/>
      <c r="D19" s="221"/>
      <c r="E19" s="221"/>
      <c r="F19" s="221"/>
      <c r="G19" s="221"/>
      <c r="H19" s="221"/>
      <c r="I19" s="221"/>
      <c r="J19" s="221"/>
      <c r="K19" s="221"/>
      <c r="L19" s="221"/>
      <c r="M19" s="221"/>
    </row>
    <row r="20" spans="1:13" ht="16.5" customHeight="1">
      <c r="A20" s="222"/>
      <c r="B20" s="222"/>
      <c r="C20" s="222"/>
      <c r="D20" s="222"/>
      <c r="E20" s="222"/>
      <c r="F20" s="222"/>
      <c r="G20" s="222"/>
      <c r="H20" s="222"/>
      <c r="I20" s="222"/>
      <c r="J20" s="222"/>
      <c r="K20" s="222"/>
      <c r="L20" s="222"/>
      <c r="M20" s="222"/>
    </row>
  </sheetData>
  <mergeCells count="9">
    <mergeCell ref="A19:M20"/>
    <mergeCell ref="C13:D13"/>
    <mergeCell ref="E1:J3"/>
    <mergeCell ref="L1:M1"/>
    <mergeCell ref="L2:M2"/>
    <mergeCell ref="L3:M3"/>
    <mergeCell ref="C10:D10"/>
    <mergeCell ref="A1:D3"/>
    <mergeCell ref="A11:M12"/>
  </mergeCells>
  <phoneticPr fontId="29" type="noConversion"/>
  <printOptions horizontalCentered="1"/>
  <pageMargins left="0.70866141732283472" right="0.70866141732283472" top="0.94488188976377963" bottom="0.74803149606299213" header="0.31496062992125984" footer="0.31496062992125984"/>
  <pageSetup paperSize="9" scale="86" orientation="landscape" r:id="rId1"/>
  <headerFooter>
    <oddFooter>&amp;L&amp;"宋体,常规"机密性：此文件包括机密性信息并且是南京迈创医疗器械有限公司的私有财产。此文件及其包含的信息均不可在没有得到南京迈创医疗器械有限公司预先的书面同意的情况下为了第三方的利益被复制、利用和传播。</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0"/>
  <sheetViews>
    <sheetView view="pageBreakPreview" zoomScale="55" zoomScaleNormal="100" zoomScaleSheetLayoutView="55" zoomScalePageLayoutView="55" workbookViewId="0">
      <selection activeCell="F17" sqref="F17"/>
    </sheetView>
  </sheetViews>
  <sheetFormatPr defaultColWidth="10.26953125" defaultRowHeight="14"/>
  <cols>
    <col min="1" max="1" width="5.7265625" style="127" bestFit="1" customWidth="1"/>
    <col min="2" max="2" width="16.26953125" style="127" customWidth="1"/>
    <col min="3" max="3" width="14.54296875" style="127" customWidth="1"/>
    <col min="4" max="4" width="21.54296875" style="127" customWidth="1"/>
    <col min="5" max="5" width="14.7265625" style="127" customWidth="1"/>
    <col min="6" max="6" width="38.54296875" style="127" customWidth="1"/>
    <col min="7" max="7" width="18.26953125" style="127" customWidth="1"/>
    <col min="8" max="8" width="22" style="127" customWidth="1"/>
    <col min="9" max="16384" width="10.26953125" style="127"/>
  </cols>
  <sheetData>
    <row r="1" spans="1:8" ht="37.5" customHeight="1">
      <c r="A1" s="235"/>
      <c r="B1" s="235"/>
      <c r="C1" s="236" t="str">
        <f>封面!E1</f>
        <v>一次性胰胆成像导管过程失效模式及后果分析（PFMEA)（G06 欧盟）
Single-use Video Pancreaticobiliary Scope PFMEA （G06 EU）</v>
      </c>
      <c r="D1" s="236"/>
      <c r="E1" s="236"/>
      <c r="F1" s="236"/>
      <c r="G1" s="113" t="s">
        <v>197</v>
      </c>
      <c r="H1" s="128" t="str">
        <f>封面!L1</f>
        <v>TM-0001083</v>
      </c>
    </row>
    <row r="2" spans="1:8" ht="28.5" customHeight="1">
      <c r="A2" s="235"/>
      <c r="B2" s="235"/>
      <c r="C2" s="236"/>
      <c r="D2" s="236"/>
      <c r="E2" s="236"/>
      <c r="F2" s="236"/>
      <c r="G2" s="113" t="s">
        <v>586</v>
      </c>
      <c r="H2" s="129" t="str">
        <f>封面!L2</f>
        <v>A/1</v>
      </c>
    </row>
    <row r="3" spans="1:8" ht="33.75" customHeight="1">
      <c r="A3" s="235"/>
      <c r="B3" s="235"/>
      <c r="C3" s="236"/>
      <c r="D3" s="236"/>
      <c r="E3" s="236"/>
      <c r="F3" s="236"/>
      <c r="G3" s="113" t="s">
        <v>233</v>
      </c>
      <c r="H3" s="134">
        <f>封面!L3</f>
        <v>46090</v>
      </c>
    </row>
    <row r="4" spans="1:8" ht="81.75" customHeight="1">
      <c r="A4" s="182" t="s">
        <v>642</v>
      </c>
      <c r="B4" s="183" t="s">
        <v>643</v>
      </c>
      <c r="C4" s="182" t="s">
        <v>644</v>
      </c>
      <c r="D4" s="182" t="s">
        <v>645</v>
      </c>
      <c r="E4" s="182" t="s">
        <v>646</v>
      </c>
      <c r="F4" s="182" t="s">
        <v>647</v>
      </c>
      <c r="G4" s="182" t="s">
        <v>648</v>
      </c>
      <c r="H4" s="182" t="s">
        <v>649</v>
      </c>
    </row>
    <row r="5" spans="1:8" ht="25" customHeight="1">
      <c r="A5" s="184">
        <v>1</v>
      </c>
      <c r="B5" s="185" t="s">
        <v>390</v>
      </c>
      <c r="C5" s="185" t="s">
        <v>391</v>
      </c>
      <c r="D5" s="185" t="s">
        <v>664</v>
      </c>
      <c r="E5" s="186" t="s">
        <v>392</v>
      </c>
      <c r="F5" s="185" t="s">
        <v>393</v>
      </c>
      <c r="G5" s="185" t="s">
        <v>394</v>
      </c>
      <c r="H5" s="185" t="s">
        <v>395</v>
      </c>
    </row>
    <row r="6" spans="1:8" ht="25" customHeight="1">
      <c r="A6" s="184">
        <v>2</v>
      </c>
      <c r="B6" s="185" t="s">
        <v>396</v>
      </c>
      <c r="C6" s="185" t="s">
        <v>397</v>
      </c>
      <c r="D6" s="185" t="s">
        <v>664</v>
      </c>
      <c r="E6" s="186" t="s">
        <v>398</v>
      </c>
      <c r="F6" s="185" t="s">
        <v>393</v>
      </c>
      <c r="G6" s="185" t="s">
        <v>399</v>
      </c>
      <c r="H6" s="185" t="s">
        <v>400</v>
      </c>
    </row>
    <row r="7" spans="1:8" ht="25" customHeight="1">
      <c r="A7" s="184">
        <v>3</v>
      </c>
      <c r="B7" s="185" t="s">
        <v>401</v>
      </c>
      <c r="C7" s="185" t="s">
        <v>402</v>
      </c>
      <c r="D7" s="185" t="s">
        <v>664</v>
      </c>
      <c r="E7" s="186" t="s">
        <v>398</v>
      </c>
      <c r="F7" s="186" t="s">
        <v>403</v>
      </c>
      <c r="G7" s="185" t="s">
        <v>399</v>
      </c>
      <c r="H7" s="185" t="s">
        <v>400</v>
      </c>
    </row>
    <row r="8" spans="1:8" ht="25" customHeight="1">
      <c r="A8" s="184">
        <v>4</v>
      </c>
      <c r="B8" s="185" t="s">
        <v>404</v>
      </c>
      <c r="C8" s="185" t="s">
        <v>405</v>
      </c>
      <c r="D8" s="185" t="s">
        <v>664</v>
      </c>
      <c r="E8" s="186" t="s">
        <v>406</v>
      </c>
      <c r="F8" s="185" t="s">
        <v>393</v>
      </c>
      <c r="G8" s="185" t="s">
        <v>407</v>
      </c>
      <c r="H8" s="185" t="s">
        <v>408</v>
      </c>
    </row>
    <row r="9" spans="1:8" ht="25" customHeight="1">
      <c r="A9" s="184">
        <v>5</v>
      </c>
      <c r="B9" s="185" t="s">
        <v>409</v>
      </c>
      <c r="C9" s="185" t="s">
        <v>410</v>
      </c>
      <c r="D9" s="185" t="s">
        <v>664</v>
      </c>
      <c r="E9" s="186" t="s">
        <v>392</v>
      </c>
      <c r="F9" s="186" t="s">
        <v>403</v>
      </c>
      <c r="G9" s="185" t="s">
        <v>394</v>
      </c>
      <c r="H9" s="185" t="s">
        <v>395</v>
      </c>
    </row>
    <row r="10" spans="1:8" ht="25" customHeight="1">
      <c r="A10" s="184">
        <v>6</v>
      </c>
      <c r="B10" s="185" t="s">
        <v>411</v>
      </c>
      <c r="C10" s="185" t="s">
        <v>412</v>
      </c>
      <c r="D10" s="185" t="s">
        <v>664</v>
      </c>
      <c r="E10" s="186" t="s">
        <v>413</v>
      </c>
      <c r="F10" s="185" t="s">
        <v>393</v>
      </c>
      <c r="G10" s="185" t="s">
        <v>414</v>
      </c>
      <c r="H10" s="185" t="s">
        <v>415</v>
      </c>
    </row>
    <row r="11" spans="1:8" ht="25" customHeight="1">
      <c r="A11" s="184">
        <v>7</v>
      </c>
      <c r="B11" s="185" t="s">
        <v>416</v>
      </c>
      <c r="C11" s="185" t="s">
        <v>417</v>
      </c>
      <c r="D11" s="185" t="s">
        <v>664</v>
      </c>
      <c r="E11" s="186" t="s">
        <v>413</v>
      </c>
      <c r="F11" s="186" t="s">
        <v>403</v>
      </c>
      <c r="G11" s="185" t="s">
        <v>414</v>
      </c>
      <c r="H11" s="185" t="s">
        <v>415</v>
      </c>
    </row>
    <row r="12" spans="1:8" ht="25" customHeight="1">
      <c r="A12" s="184">
        <v>8</v>
      </c>
      <c r="B12" s="185" t="s">
        <v>418</v>
      </c>
      <c r="C12" s="185" t="s">
        <v>419</v>
      </c>
      <c r="D12" s="185" t="s">
        <v>664</v>
      </c>
      <c r="E12" s="186" t="s">
        <v>406</v>
      </c>
      <c r="F12" s="186" t="s">
        <v>403</v>
      </c>
      <c r="G12" s="185" t="s">
        <v>407</v>
      </c>
      <c r="H12" s="185" t="s">
        <v>408</v>
      </c>
    </row>
    <row r="13" spans="1:8" ht="25" customHeight="1">
      <c r="A13" s="184">
        <v>9</v>
      </c>
      <c r="B13" s="185" t="s">
        <v>420</v>
      </c>
      <c r="C13" s="185" t="s">
        <v>421</v>
      </c>
      <c r="D13" s="185" t="s">
        <v>665</v>
      </c>
      <c r="E13" s="186" t="s">
        <v>392</v>
      </c>
      <c r="F13" s="185" t="s">
        <v>393</v>
      </c>
      <c r="G13" s="185" t="s">
        <v>394</v>
      </c>
      <c r="H13" s="185" t="s">
        <v>395</v>
      </c>
    </row>
    <row r="14" spans="1:8" ht="25" customHeight="1">
      <c r="A14" s="184">
        <v>10</v>
      </c>
      <c r="B14" s="185" t="s">
        <v>422</v>
      </c>
      <c r="C14" s="185" t="s">
        <v>423</v>
      </c>
      <c r="D14" s="185" t="s">
        <v>665</v>
      </c>
      <c r="E14" s="186" t="s">
        <v>398</v>
      </c>
      <c r="F14" s="185" t="s">
        <v>393</v>
      </c>
      <c r="G14" s="185" t="s">
        <v>399</v>
      </c>
      <c r="H14" s="185" t="s">
        <v>400</v>
      </c>
    </row>
    <row r="15" spans="1:8" ht="25" customHeight="1">
      <c r="A15" s="184">
        <v>11</v>
      </c>
      <c r="B15" s="185" t="s">
        <v>424</v>
      </c>
      <c r="C15" s="185" t="s">
        <v>425</v>
      </c>
      <c r="D15" s="185" t="s">
        <v>665</v>
      </c>
      <c r="E15" s="186" t="s">
        <v>398</v>
      </c>
      <c r="F15" s="186" t="s">
        <v>403</v>
      </c>
      <c r="G15" s="185" t="s">
        <v>399</v>
      </c>
      <c r="H15" s="185" t="s">
        <v>400</v>
      </c>
    </row>
    <row r="16" spans="1:8" ht="25" customHeight="1">
      <c r="A16" s="184">
        <v>12</v>
      </c>
      <c r="B16" s="185" t="s">
        <v>426</v>
      </c>
      <c r="C16" s="185" t="s">
        <v>427</v>
      </c>
      <c r="D16" s="185" t="s">
        <v>665</v>
      </c>
      <c r="E16" s="186" t="s">
        <v>406</v>
      </c>
      <c r="F16" s="185" t="s">
        <v>393</v>
      </c>
      <c r="G16" s="185" t="s">
        <v>407</v>
      </c>
      <c r="H16" s="185" t="s">
        <v>408</v>
      </c>
    </row>
    <row r="17" spans="1:8" ht="25" customHeight="1">
      <c r="A17" s="184">
        <v>13</v>
      </c>
      <c r="B17" s="185" t="s">
        <v>428</v>
      </c>
      <c r="C17" s="185" t="s">
        <v>429</v>
      </c>
      <c r="D17" s="185" t="s">
        <v>665</v>
      </c>
      <c r="E17" s="186" t="s">
        <v>392</v>
      </c>
      <c r="F17" s="186" t="s">
        <v>403</v>
      </c>
      <c r="G17" s="185" t="s">
        <v>394</v>
      </c>
      <c r="H17" s="185" t="s">
        <v>395</v>
      </c>
    </row>
    <row r="18" spans="1:8" ht="25" customHeight="1">
      <c r="A18" s="184">
        <v>14</v>
      </c>
      <c r="B18" s="185" t="s">
        <v>430</v>
      </c>
      <c r="C18" s="185" t="s">
        <v>431</v>
      </c>
      <c r="D18" s="185" t="s">
        <v>665</v>
      </c>
      <c r="E18" s="186" t="s">
        <v>413</v>
      </c>
      <c r="F18" s="185" t="s">
        <v>393</v>
      </c>
      <c r="G18" s="185" t="s">
        <v>414</v>
      </c>
      <c r="H18" s="185" t="s">
        <v>415</v>
      </c>
    </row>
    <row r="19" spans="1:8" ht="25" customHeight="1">
      <c r="A19" s="184">
        <v>15</v>
      </c>
      <c r="B19" s="185" t="s">
        <v>432</v>
      </c>
      <c r="C19" s="185" t="s">
        <v>433</v>
      </c>
      <c r="D19" s="185" t="s">
        <v>665</v>
      </c>
      <c r="E19" s="186" t="s">
        <v>413</v>
      </c>
      <c r="F19" s="186" t="s">
        <v>403</v>
      </c>
      <c r="G19" s="185" t="s">
        <v>414</v>
      </c>
      <c r="H19" s="185" t="s">
        <v>415</v>
      </c>
    </row>
    <row r="20" spans="1:8" ht="25" customHeight="1">
      <c r="A20" s="184">
        <v>16</v>
      </c>
      <c r="B20" s="185" t="s">
        <v>434</v>
      </c>
      <c r="C20" s="185" t="s">
        <v>435</v>
      </c>
      <c r="D20" s="185" t="s">
        <v>665</v>
      </c>
      <c r="E20" s="186" t="s">
        <v>406</v>
      </c>
      <c r="F20" s="186" t="s">
        <v>403</v>
      </c>
      <c r="G20" s="185" t="s">
        <v>407</v>
      </c>
      <c r="H20" s="185" t="s">
        <v>408</v>
      </c>
    </row>
  </sheetData>
  <mergeCells count="2">
    <mergeCell ref="A1:B3"/>
    <mergeCell ref="C1:F3"/>
  </mergeCells>
  <phoneticPr fontId="29" type="noConversion"/>
  <printOptions horizontalCentered="1"/>
  <pageMargins left="0.31496062992125984" right="0.31496062992125984" top="0.74803149606299213" bottom="0.74803149606299213" header="0.31496062992125984" footer="0.31496062992125984"/>
  <pageSetup paperSize="9" scale="84" fitToWidth="0" orientation="landscape" r:id="rId1"/>
  <headerFooter>
    <oddFooter>&amp;L&amp;"宋体,常规"机密性：此文件包括机密性信息并且是南京迈创医疗器械有限公司的私有财产。此文件及其包含的信息均不可在没有得到南京迈创医疗器械有限公司预先的书面同意的情况下为了第三方的利益被复制、利用和传播。</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8"/>
  <sheetViews>
    <sheetView tabSelected="1" view="pageBreakPreview" topLeftCell="A3" zoomScale="70" zoomScaleNormal="100" zoomScaleSheetLayoutView="70" workbookViewId="0">
      <selection activeCell="M11" sqref="M11"/>
    </sheetView>
  </sheetViews>
  <sheetFormatPr defaultColWidth="9.1796875" defaultRowHeight="15"/>
  <cols>
    <col min="1" max="1" width="6.54296875" style="120" customWidth="1"/>
    <col min="2" max="2" width="9" style="106" customWidth="1"/>
    <col min="3" max="3" width="14.81640625" style="106" customWidth="1"/>
    <col min="4" max="4" width="15.54296875" style="106" customWidth="1"/>
    <col min="5" max="5" width="15.54296875" style="107" customWidth="1"/>
    <col min="6" max="6" width="8.7265625" style="120" customWidth="1"/>
    <col min="7" max="7" width="16.54296875" style="108" customWidth="1"/>
    <col min="8" max="8" width="6.54296875" style="120" customWidth="1"/>
    <col min="9" max="9" width="18.54296875" style="106" customWidth="1"/>
    <col min="10" max="10" width="15.54296875" style="106" customWidth="1"/>
    <col min="11" max="11" width="6.54296875" style="120" customWidth="1"/>
    <col min="12" max="12" width="9.54296875" style="120" customWidth="1"/>
    <col min="13" max="13" width="14.7265625" style="106" customWidth="1"/>
    <col min="14" max="14" width="6.54296875" style="106" customWidth="1"/>
    <col min="15" max="15" width="15.54296875" style="106" customWidth="1"/>
    <col min="16" max="18" width="4.54296875" style="106" customWidth="1"/>
    <col min="19" max="19" width="6.54296875" style="106" customWidth="1"/>
    <col min="20" max="16384" width="9.1796875" style="106"/>
  </cols>
  <sheetData>
    <row r="1" spans="1:19" s="105" customFormat="1" ht="27.75" customHeight="1">
      <c r="A1" s="232"/>
      <c r="B1" s="232"/>
      <c r="C1" s="232"/>
      <c r="D1" s="232"/>
      <c r="E1" s="294" t="str">
        <f>封面!E1</f>
        <v>一次性胰胆成像导管过程失效模式及后果分析（PFMEA)（G06 欧盟）
Single-use Video Pancreaticobiliary Scope PFMEA （G06 EU）</v>
      </c>
      <c r="F1" s="295"/>
      <c r="G1" s="295"/>
      <c r="H1" s="295"/>
      <c r="I1" s="295"/>
      <c r="J1" s="295"/>
      <c r="K1" s="295"/>
      <c r="L1" s="295"/>
      <c r="M1" s="113" t="s">
        <v>258</v>
      </c>
      <c r="N1" s="263" t="str">
        <f>封面!L1</f>
        <v>TM-0001083</v>
      </c>
      <c r="O1" s="263"/>
      <c r="P1" s="263"/>
      <c r="Q1" s="263"/>
      <c r="R1" s="263"/>
      <c r="S1" s="263"/>
    </row>
    <row r="2" spans="1:19" s="105" customFormat="1" ht="29.25" customHeight="1">
      <c r="A2" s="232"/>
      <c r="B2" s="232"/>
      <c r="C2" s="232"/>
      <c r="D2" s="232"/>
      <c r="E2" s="295"/>
      <c r="F2" s="295"/>
      <c r="G2" s="295"/>
      <c r="H2" s="295"/>
      <c r="I2" s="295"/>
      <c r="J2" s="295"/>
      <c r="K2" s="295"/>
      <c r="L2" s="295"/>
      <c r="M2" s="113" t="s">
        <v>259</v>
      </c>
      <c r="N2" s="263" t="str">
        <f>封面!L2</f>
        <v>A/1</v>
      </c>
      <c r="O2" s="263"/>
      <c r="P2" s="263"/>
      <c r="Q2" s="263"/>
      <c r="R2" s="263"/>
      <c r="S2" s="263"/>
    </row>
    <row r="3" spans="1:19" s="105" customFormat="1" ht="31.5">
      <c r="A3" s="232"/>
      <c r="B3" s="232"/>
      <c r="C3" s="232"/>
      <c r="D3" s="232"/>
      <c r="E3" s="295"/>
      <c r="F3" s="295"/>
      <c r="G3" s="295"/>
      <c r="H3" s="295"/>
      <c r="I3" s="295"/>
      <c r="J3" s="295"/>
      <c r="K3" s="295"/>
      <c r="L3" s="295"/>
      <c r="M3" s="114" t="s">
        <v>199</v>
      </c>
      <c r="N3" s="264" t="s">
        <v>598</v>
      </c>
      <c r="O3" s="265"/>
      <c r="P3" s="265"/>
      <c r="Q3" s="265"/>
      <c r="R3" s="265"/>
      <c r="S3" s="265"/>
    </row>
    <row r="4" spans="1:19" s="105" customFormat="1" ht="26">
      <c r="A4" s="237" t="s">
        <v>260</v>
      </c>
      <c r="B4" s="237" t="s">
        <v>217</v>
      </c>
      <c r="C4" s="237" t="s">
        <v>218</v>
      </c>
      <c r="D4" s="237" t="s">
        <v>261</v>
      </c>
      <c r="E4" s="237" t="s">
        <v>220</v>
      </c>
      <c r="F4" s="159" t="s">
        <v>262</v>
      </c>
      <c r="G4" s="237" t="s">
        <v>221</v>
      </c>
      <c r="H4" s="159" t="s">
        <v>263</v>
      </c>
      <c r="I4" s="237" t="s">
        <v>264</v>
      </c>
      <c r="J4" s="237"/>
      <c r="K4" s="159" t="s">
        <v>265</v>
      </c>
      <c r="L4" s="136" t="s">
        <v>223</v>
      </c>
      <c r="M4" s="237" t="s">
        <v>241</v>
      </c>
      <c r="N4" s="237" t="s">
        <v>225</v>
      </c>
      <c r="O4" s="237" t="s">
        <v>226</v>
      </c>
      <c r="P4" s="237"/>
      <c r="Q4" s="237"/>
      <c r="R4" s="237"/>
      <c r="S4" s="237"/>
    </row>
    <row r="5" spans="1:19" s="105" customFormat="1" ht="13">
      <c r="A5" s="238"/>
      <c r="B5" s="237"/>
      <c r="C5" s="238"/>
      <c r="D5" s="238"/>
      <c r="E5" s="238"/>
      <c r="F5" s="160" t="s">
        <v>227</v>
      </c>
      <c r="G5" s="238"/>
      <c r="H5" s="160" t="s">
        <v>228</v>
      </c>
      <c r="I5" s="121" t="s">
        <v>229</v>
      </c>
      <c r="J5" s="121" t="s">
        <v>230</v>
      </c>
      <c r="K5" s="160" t="s">
        <v>266</v>
      </c>
      <c r="L5" s="137" t="s">
        <v>232</v>
      </c>
      <c r="M5" s="238"/>
      <c r="N5" s="238"/>
      <c r="O5" s="121" t="s">
        <v>267</v>
      </c>
      <c r="P5" s="121" t="s">
        <v>227</v>
      </c>
      <c r="Q5" s="121" t="s">
        <v>228</v>
      </c>
      <c r="R5" s="121" t="s">
        <v>231</v>
      </c>
      <c r="S5" s="121" t="s">
        <v>268</v>
      </c>
    </row>
    <row r="6" spans="1:19" s="105" customFormat="1" ht="135.75" customHeight="1">
      <c r="A6" s="144" t="s">
        <v>319</v>
      </c>
      <c r="B6" s="140" t="s">
        <v>327</v>
      </c>
      <c r="C6" s="141" t="s">
        <v>366</v>
      </c>
      <c r="D6" s="141" t="s">
        <v>367</v>
      </c>
      <c r="E6" s="141" t="s">
        <v>363</v>
      </c>
      <c r="F6" s="142">
        <v>3</v>
      </c>
      <c r="G6" s="141" t="s">
        <v>368</v>
      </c>
      <c r="H6" s="142">
        <v>3</v>
      </c>
      <c r="I6" s="141" t="s">
        <v>369</v>
      </c>
      <c r="J6" s="141" t="s">
        <v>370</v>
      </c>
      <c r="K6" s="142">
        <v>4</v>
      </c>
      <c r="L6" s="142">
        <v>24</v>
      </c>
      <c r="M6" s="138" t="s">
        <v>334</v>
      </c>
      <c r="N6" s="139" t="s">
        <v>269</v>
      </c>
      <c r="O6" s="158" t="s">
        <v>661</v>
      </c>
      <c r="P6" s="164">
        <v>3</v>
      </c>
      <c r="Q6" s="164">
        <v>1</v>
      </c>
      <c r="R6" s="164">
        <v>4</v>
      </c>
      <c r="S6" s="164">
        <v>12</v>
      </c>
    </row>
    <row r="7" spans="1:19" s="109" customFormat="1" ht="102" customHeight="1">
      <c r="A7" s="145" t="s">
        <v>320</v>
      </c>
      <c r="B7" s="124" t="s">
        <v>328</v>
      </c>
      <c r="C7" s="124" t="s">
        <v>270</v>
      </c>
      <c r="D7" s="154" t="s">
        <v>365</v>
      </c>
      <c r="E7" s="153" t="s">
        <v>371</v>
      </c>
      <c r="F7" s="155">
        <v>3</v>
      </c>
      <c r="G7" s="153" t="s">
        <v>364</v>
      </c>
      <c r="H7" s="155">
        <v>2</v>
      </c>
      <c r="I7" s="153" t="s">
        <v>359</v>
      </c>
      <c r="J7" s="153" t="s">
        <v>361</v>
      </c>
      <c r="K7" s="157">
        <v>2</v>
      </c>
      <c r="L7" s="143">
        <v>12</v>
      </c>
      <c r="M7" s="124" t="s">
        <v>200</v>
      </c>
      <c r="N7" s="164" t="s">
        <v>662</v>
      </c>
      <c r="O7" s="164" t="s">
        <v>662</v>
      </c>
      <c r="P7" s="164" t="s">
        <v>662</v>
      </c>
      <c r="Q7" s="164" t="s">
        <v>662</v>
      </c>
      <c r="R7" s="164" t="s">
        <v>662</v>
      </c>
      <c r="S7" s="164" t="s">
        <v>662</v>
      </c>
    </row>
    <row r="8" spans="1:19" s="105" customFormat="1" ht="71.25" customHeight="1">
      <c r="A8" s="289" t="s">
        <v>321</v>
      </c>
      <c r="B8" s="285" t="s">
        <v>348</v>
      </c>
      <c r="C8" s="261" t="s">
        <v>372</v>
      </c>
      <c r="D8" s="153" t="s">
        <v>271</v>
      </c>
      <c r="E8" s="296" t="s">
        <v>373</v>
      </c>
      <c r="F8" s="155">
        <v>3</v>
      </c>
      <c r="G8" s="153" t="s">
        <v>374</v>
      </c>
      <c r="H8" s="298">
        <v>2</v>
      </c>
      <c r="I8" s="153" t="s">
        <v>342</v>
      </c>
      <c r="J8" s="153" t="s">
        <v>272</v>
      </c>
      <c r="K8" s="157">
        <v>2</v>
      </c>
      <c r="L8" s="143">
        <v>12</v>
      </c>
      <c r="M8" s="124" t="s">
        <v>273</v>
      </c>
      <c r="N8" s="150" t="s">
        <v>269</v>
      </c>
      <c r="O8" s="158" t="s">
        <v>661</v>
      </c>
      <c r="P8" s="164">
        <v>3</v>
      </c>
      <c r="Q8" s="164">
        <v>1</v>
      </c>
      <c r="R8" s="164">
        <v>2</v>
      </c>
      <c r="S8" s="164">
        <v>6</v>
      </c>
    </row>
    <row r="9" spans="1:19" s="105" customFormat="1" ht="48" customHeight="1">
      <c r="A9" s="290"/>
      <c r="B9" s="286"/>
      <c r="C9" s="262"/>
      <c r="D9" s="153" t="s">
        <v>347</v>
      </c>
      <c r="E9" s="297"/>
      <c r="F9" s="155">
        <v>2</v>
      </c>
      <c r="G9" s="153" t="s">
        <v>343</v>
      </c>
      <c r="H9" s="299"/>
      <c r="I9" s="153" t="s">
        <v>346</v>
      </c>
      <c r="J9" s="153" t="s">
        <v>344</v>
      </c>
      <c r="K9" s="157">
        <v>2</v>
      </c>
      <c r="L9" s="143">
        <v>8</v>
      </c>
      <c r="M9" s="124" t="s">
        <v>339</v>
      </c>
      <c r="N9" s="164" t="s">
        <v>662</v>
      </c>
      <c r="O9" s="164" t="s">
        <v>662</v>
      </c>
      <c r="P9" s="164" t="s">
        <v>662</v>
      </c>
      <c r="Q9" s="164" t="s">
        <v>662</v>
      </c>
      <c r="R9" s="164" t="s">
        <v>662</v>
      </c>
      <c r="S9" s="164" t="s">
        <v>662</v>
      </c>
    </row>
    <row r="10" spans="1:19" s="105" customFormat="1" ht="48" customHeight="1">
      <c r="A10" s="291"/>
      <c r="B10" s="287"/>
      <c r="C10" s="123" t="s">
        <v>274</v>
      </c>
      <c r="D10" s="153" t="s">
        <v>275</v>
      </c>
      <c r="E10" s="156" t="s">
        <v>276</v>
      </c>
      <c r="F10" s="155">
        <v>2</v>
      </c>
      <c r="G10" s="153" t="s">
        <v>277</v>
      </c>
      <c r="H10" s="162">
        <v>1</v>
      </c>
      <c r="I10" s="153" t="s">
        <v>357</v>
      </c>
      <c r="J10" s="153" t="s">
        <v>358</v>
      </c>
      <c r="K10" s="157">
        <v>2</v>
      </c>
      <c r="L10" s="143">
        <v>4</v>
      </c>
      <c r="M10" s="124" t="s">
        <v>339</v>
      </c>
      <c r="N10" s="164" t="s">
        <v>662</v>
      </c>
      <c r="O10" s="164" t="s">
        <v>662</v>
      </c>
      <c r="P10" s="164" t="s">
        <v>662</v>
      </c>
      <c r="Q10" s="164" t="s">
        <v>662</v>
      </c>
      <c r="R10" s="164" t="s">
        <v>662</v>
      </c>
      <c r="S10" s="164" t="s">
        <v>662</v>
      </c>
    </row>
    <row r="11" spans="1:19" s="109" customFormat="1" ht="50.25" customHeight="1">
      <c r="A11" s="293" t="s">
        <v>322</v>
      </c>
      <c r="B11" s="292" t="s">
        <v>278</v>
      </c>
      <c r="C11" s="292" t="s">
        <v>383</v>
      </c>
      <c r="D11" s="153" t="s">
        <v>329</v>
      </c>
      <c r="E11" s="153" t="s">
        <v>330</v>
      </c>
      <c r="F11" s="155">
        <v>3</v>
      </c>
      <c r="G11" s="153" t="s">
        <v>331</v>
      </c>
      <c r="H11" s="155">
        <v>2</v>
      </c>
      <c r="I11" s="153" t="s">
        <v>332</v>
      </c>
      <c r="J11" s="153" t="s">
        <v>333</v>
      </c>
      <c r="K11" s="157">
        <v>2</v>
      </c>
      <c r="L11" s="149">
        <v>12</v>
      </c>
      <c r="M11" s="148" t="s">
        <v>212</v>
      </c>
      <c r="N11" s="164" t="s">
        <v>662</v>
      </c>
      <c r="O11" s="164" t="s">
        <v>662</v>
      </c>
      <c r="P11" s="164" t="s">
        <v>662</v>
      </c>
      <c r="Q11" s="164" t="s">
        <v>662</v>
      </c>
      <c r="R11" s="164" t="s">
        <v>662</v>
      </c>
      <c r="S11" s="164" t="s">
        <v>662</v>
      </c>
    </row>
    <row r="12" spans="1:19" s="109" customFormat="1" ht="118.5" customHeight="1">
      <c r="A12" s="293"/>
      <c r="B12" s="292"/>
      <c r="C12" s="292"/>
      <c r="D12" s="153" t="s">
        <v>384</v>
      </c>
      <c r="E12" s="153" t="s">
        <v>385</v>
      </c>
      <c r="F12" s="155">
        <v>4</v>
      </c>
      <c r="G12" s="153" t="s">
        <v>386</v>
      </c>
      <c r="H12" s="155">
        <v>2</v>
      </c>
      <c r="I12" s="153" t="s">
        <v>389</v>
      </c>
      <c r="J12" s="153" t="s">
        <v>387</v>
      </c>
      <c r="K12" s="157">
        <v>2</v>
      </c>
      <c r="L12" s="149">
        <v>8</v>
      </c>
      <c r="M12" s="148" t="s">
        <v>212</v>
      </c>
      <c r="N12" s="164" t="s">
        <v>662</v>
      </c>
      <c r="O12" s="164" t="s">
        <v>662</v>
      </c>
      <c r="P12" s="164" t="s">
        <v>662</v>
      </c>
      <c r="Q12" s="164" t="s">
        <v>662</v>
      </c>
      <c r="R12" s="164" t="s">
        <v>662</v>
      </c>
      <c r="S12" s="164" t="s">
        <v>662</v>
      </c>
    </row>
    <row r="13" spans="1:19" s="105" customFormat="1" ht="27.75" customHeight="1">
      <c r="A13" s="232"/>
      <c r="B13" s="232"/>
      <c r="C13" s="232"/>
      <c r="D13" s="232"/>
      <c r="E13" s="294" t="str">
        <f>封面!E1</f>
        <v>一次性胰胆成像导管过程失效模式及后果分析（PFMEA)（G06 欧盟）
Single-use Video Pancreaticobiliary Scope PFMEA （G06 EU）</v>
      </c>
      <c r="F13" s="295"/>
      <c r="G13" s="295"/>
      <c r="H13" s="295"/>
      <c r="I13" s="295"/>
      <c r="J13" s="295"/>
      <c r="K13" s="295"/>
      <c r="L13" s="295"/>
      <c r="M13" s="113" t="s">
        <v>280</v>
      </c>
      <c r="N13" s="263" t="str">
        <f>封面!L1</f>
        <v>TM-0001083</v>
      </c>
      <c r="O13" s="263"/>
      <c r="P13" s="263"/>
      <c r="Q13" s="263"/>
      <c r="R13" s="263"/>
      <c r="S13" s="263"/>
    </row>
    <row r="14" spans="1:19" s="105" customFormat="1" ht="27.75" customHeight="1">
      <c r="A14" s="232"/>
      <c r="B14" s="232"/>
      <c r="C14" s="232"/>
      <c r="D14" s="232"/>
      <c r="E14" s="295"/>
      <c r="F14" s="295"/>
      <c r="G14" s="295"/>
      <c r="H14" s="295"/>
      <c r="I14" s="295"/>
      <c r="J14" s="295"/>
      <c r="K14" s="295"/>
      <c r="L14" s="295"/>
      <c r="M14" s="113" t="s">
        <v>253</v>
      </c>
      <c r="N14" s="263" t="str">
        <f>封面!L2</f>
        <v>A/1</v>
      </c>
      <c r="O14" s="263"/>
      <c r="P14" s="263"/>
      <c r="Q14" s="263"/>
      <c r="R14" s="263"/>
      <c r="S14" s="263"/>
    </row>
    <row r="15" spans="1:19" s="105" customFormat="1" ht="31.5">
      <c r="A15" s="232"/>
      <c r="B15" s="232"/>
      <c r="C15" s="232"/>
      <c r="D15" s="232"/>
      <c r="E15" s="295"/>
      <c r="F15" s="295"/>
      <c r="G15" s="295"/>
      <c r="H15" s="295"/>
      <c r="I15" s="295"/>
      <c r="J15" s="295"/>
      <c r="K15" s="295"/>
      <c r="L15" s="295"/>
      <c r="M15" s="114" t="s">
        <v>199</v>
      </c>
      <c r="N15" s="264" t="s">
        <v>597</v>
      </c>
      <c r="O15" s="265"/>
      <c r="P15" s="265"/>
      <c r="Q15" s="265"/>
      <c r="R15" s="265"/>
      <c r="S15" s="265"/>
    </row>
    <row r="16" spans="1:19" s="105" customFormat="1" ht="26">
      <c r="A16" s="237" t="s">
        <v>238</v>
      </c>
      <c r="B16" s="237" t="s">
        <v>217</v>
      </c>
      <c r="C16" s="237" t="s">
        <v>218</v>
      </c>
      <c r="D16" s="237" t="s">
        <v>219</v>
      </c>
      <c r="E16" s="237" t="s">
        <v>239</v>
      </c>
      <c r="F16" s="159" t="s">
        <v>281</v>
      </c>
      <c r="G16" s="237" t="s">
        <v>240</v>
      </c>
      <c r="H16" s="159" t="s">
        <v>282</v>
      </c>
      <c r="I16" s="237" t="s">
        <v>283</v>
      </c>
      <c r="J16" s="237"/>
      <c r="K16" s="159" t="s">
        <v>222</v>
      </c>
      <c r="L16" s="136" t="s">
        <v>223</v>
      </c>
      <c r="M16" s="237" t="s">
        <v>284</v>
      </c>
      <c r="N16" s="237" t="s">
        <v>225</v>
      </c>
      <c r="O16" s="237" t="s">
        <v>285</v>
      </c>
      <c r="P16" s="237"/>
      <c r="Q16" s="237"/>
      <c r="R16" s="237"/>
      <c r="S16" s="237"/>
    </row>
    <row r="17" spans="1:19" s="105" customFormat="1" ht="13">
      <c r="A17" s="238"/>
      <c r="B17" s="237"/>
      <c r="C17" s="238"/>
      <c r="D17" s="238"/>
      <c r="E17" s="238"/>
      <c r="F17" s="160" t="s">
        <v>242</v>
      </c>
      <c r="G17" s="238"/>
      <c r="H17" s="160" t="s">
        <v>228</v>
      </c>
      <c r="I17" s="121" t="s">
        <v>229</v>
      </c>
      <c r="J17" s="121" t="s">
        <v>230</v>
      </c>
      <c r="K17" s="160" t="s">
        <v>266</v>
      </c>
      <c r="L17" s="137" t="s">
        <v>235</v>
      </c>
      <c r="M17" s="238"/>
      <c r="N17" s="238"/>
      <c r="O17" s="121" t="s">
        <v>244</v>
      </c>
      <c r="P17" s="121" t="s">
        <v>242</v>
      </c>
      <c r="Q17" s="121" t="s">
        <v>254</v>
      </c>
      <c r="R17" s="121" t="s">
        <v>243</v>
      </c>
      <c r="S17" s="121" t="s">
        <v>232</v>
      </c>
    </row>
    <row r="18" spans="1:19" s="105" customFormat="1" ht="129.75" customHeight="1">
      <c r="A18" s="145" t="s">
        <v>323</v>
      </c>
      <c r="B18" s="124" t="s">
        <v>286</v>
      </c>
      <c r="C18" s="124" t="s">
        <v>345</v>
      </c>
      <c r="D18" s="124" t="s">
        <v>340</v>
      </c>
      <c r="E18" s="124" t="s">
        <v>375</v>
      </c>
      <c r="F18" s="161">
        <v>3</v>
      </c>
      <c r="G18" s="153" t="s">
        <v>376</v>
      </c>
      <c r="H18" s="161">
        <v>2</v>
      </c>
      <c r="I18" s="124" t="s">
        <v>362</v>
      </c>
      <c r="J18" s="124" t="s">
        <v>377</v>
      </c>
      <c r="K18" s="161">
        <v>4</v>
      </c>
      <c r="L18" s="143">
        <v>24</v>
      </c>
      <c r="M18" s="124" t="s">
        <v>335</v>
      </c>
      <c r="N18" s="150" t="s">
        <v>269</v>
      </c>
      <c r="O18" s="158" t="s">
        <v>661</v>
      </c>
      <c r="P18" s="164">
        <v>3</v>
      </c>
      <c r="Q18" s="164">
        <v>1</v>
      </c>
      <c r="R18" s="164">
        <v>4</v>
      </c>
      <c r="S18" s="164">
        <v>12</v>
      </c>
    </row>
    <row r="19" spans="1:19" s="130" customFormat="1" ht="41.25" customHeight="1">
      <c r="A19" s="289" t="s">
        <v>324</v>
      </c>
      <c r="B19" s="285" t="s">
        <v>338</v>
      </c>
      <c r="C19" s="285" t="s">
        <v>587</v>
      </c>
      <c r="D19" s="124" t="s">
        <v>349</v>
      </c>
      <c r="E19" s="124" t="s">
        <v>287</v>
      </c>
      <c r="F19" s="161">
        <v>3</v>
      </c>
      <c r="G19" s="124" t="s">
        <v>360</v>
      </c>
      <c r="H19" s="161">
        <v>2</v>
      </c>
      <c r="I19" s="124" t="s">
        <v>288</v>
      </c>
      <c r="J19" s="124" t="s">
        <v>356</v>
      </c>
      <c r="K19" s="161">
        <v>2</v>
      </c>
      <c r="L19" s="143">
        <v>12</v>
      </c>
      <c r="M19" s="124" t="s">
        <v>200</v>
      </c>
      <c r="N19" s="164" t="s">
        <v>662</v>
      </c>
      <c r="O19" s="164" t="s">
        <v>662</v>
      </c>
      <c r="P19" s="164" t="s">
        <v>662</v>
      </c>
      <c r="Q19" s="164" t="s">
        <v>662</v>
      </c>
      <c r="R19" s="164" t="s">
        <v>662</v>
      </c>
      <c r="S19" s="164" t="s">
        <v>662</v>
      </c>
    </row>
    <row r="20" spans="1:19" s="105" customFormat="1" ht="39" customHeight="1">
      <c r="A20" s="290"/>
      <c r="B20" s="286"/>
      <c r="C20" s="286"/>
      <c r="D20" s="124" t="s">
        <v>341</v>
      </c>
      <c r="E20" s="124" t="s">
        <v>289</v>
      </c>
      <c r="F20" s="161">
        <v>3</v>
      </c>
      <c r="G20" s="124" t="s">
        <v>236</v>
      </c>
      <c r="H20" s="161">
        <v>1</v>
      </c>
      <c r="I20" s="124" t="s">
        <v>290</v>
      </c>
      <c r="J20" s="124" t="s">
        <v>354</v>
      </c>
      <c r="K20" s="161">
        <v>2</v>
      </c>
      <c r="L20" s="143">
        <v>6</v>
      </c>
      <c r="M20" s="124" t="s">
        <v>279</v>
      </c>
      <c r="N20" s="164" t="s">
        <v>662</v>
      </c>
      <c r="O20" s="164" t="s">
        <v>662</v>
      </c>
      <c r="P20" s="164" t="s">
        <v>662</v>
      </c>
      <c r="Q20" s="164" t="s">
        <v>662</v>
      </c>
      <c r="R20" s="164" t="s">
        <v>662</v>
      </c>
      <c r="S20" s="164" t="s">
        <v>662</v>
      </c>
    </row>
    <row r="21" spans="1:19" s="105" customFormat="1" ht="39" customHeight="1">
      <c r="A21" s="291"/>
      <c r="B21" s="287"/>
      <c r="C21" s="287"/>
      <c r="D21" s="163" t="s">
        <v>350</v>
      </c>
      <c r="E21" s="163" t="s">
        <v>351</v>
      </c>
      <c r="F21" s="164">
        <v>2</v>
      </c>
      <c r="G21" s="163" t="s">
        <v>352</v>
      </c>
      <c r="H21" s="164">
        <v>2</v>
      </c>
      <c r="I21" s="163" t="s">
        <v>353</v>
      </c>
      <c r="J21" s="163" t="s">
        <v>518</v>
      </c>
      <c r="K21" s="164">
        <v>2</v>
      </c>
      <c r="L21" s="164">
        <v>8</v>
      </c>
      <c r="M21" s="163" t="s">
        <v>388</v>
      </c>
      <c r="N21" s="164" t="s">
        <v>662</v>
      </c>
      <c r="O21" s="164" t="s">
        <v>662</v>
      </c>
      <c r="P21" s="164" t="s">
        <v>662</v>
      </c>
      <c r="Q21" s="164" t="s">
        <v>662</v>
      </c>
      <c r="R21" s="164" t="s">
        <v>662</v>
      </c>
      <c r="S21" s="164" t="s">
        <v>662</v>
      </c>
    </row>
    <row r="22" spans="1:19" ht="31.5" customHeight="1">
      <c r="A22" s="146" t="s">
        <v>325</v>
      </c>
      <c r="B22" s="124" t="s">
        <v>202</v>
      </c>
      <c r="C22" s="281" t="s">
        <v>203</v>
      </c>
      <c r="D22" s="281"/>
      <c r="E22" s="281"/>
      <c r="F22" s="281"/>
      <c r="G22" s="281"/>
      <c r="H22" s="281"/>
      <c r="I22" s="281"/>
      <c r="J22" s="281"/>
      <c r="K22" s="281"/>
      <c r="L22" s="281"/>
      <c r="M22" s="281"/>
      <c r="N22" s="281"/>
      <c r="O22" s="281"/>
      <c r="P22" s="281"/>
      <c r="Q22" s="281"/>
      <c r="R22" s="281"/>
      <c r="S22" s="281"/>
    </row>
    <row r="23" spans="1:19" ht="31.5" customHeight="1">
      <c r="A23" s="146" t="s">
        <v>326</v>
      </c>
      <c r="B23" s="124" t="s">
        <v>204</v>
      </c>
      <c r="C23" s="281" t="s">
        <v>203</v>
      </c>
      <c r="D23" s="281"/>
      <c r="E23" s="281"/>
      <c r="F23" s="281"/>
      <c r="G23" s="281"/>
      <c r="H23" s="281"/>
      <c r="I23" s="281"/>
      <c r="J23" s="281"/>
      <c r="K23" s="281"/>
      <c r="L23" s="281"/>
      <c r="M23" s="281"/>
      <c r="N23" s="281"/>
      <c r="O23" s="281"/>
      <c r="P23" s="281"/>
      <c r="Q23" s="281"/>
      <c r="R23" s="281"/>
      <c r="S23" s="281"/>
    </row>
    <row r="24" spans="1:19" s="197" customFormat="1" ht="70" customHeight="1">
      <c r="A24" s="239">
        <v>9</v>
      </c>
      <c r="B24" s="242" t="s">
        <v>671</v>
      </c>
      <c r="C24" s="242" t="s">
        <v>678</v>
      </c>
      <c r="D24" s="195" t="s">
        <v>672</v>
      </c>
      <c r="E24" s="256" t="s">
        <v>675</v>
      </c>
      <c r="F24" s="254">
        <v>2</v>
      </c>
      <c r="G24" s="255" t="s">
        <v>679</v>
      </c>
      <c r="H24" s="254">
        <v>1</v>
      </c>
      <c r="I24" s="256" t="s">
        <v>680</v>
      </c>
      <c r="J24" s="257" t="s">
        <v>681</v>
      </c>
      <c r="K24" s="254">
        <v>2</v>
      </c>
      <c r="L24" s="254">
        <v>4</v>
      </c>
      <c r="M24" s="254" t="s">
        <v>670</v>
      </c>
      <c r="N24" s="258"/>
      <c r="O24" s="203" t="s">
        <v>670</v>
      </c>
      <c r="P24" s="203" t="s">
        <v>670</v>
      </c>
      <c r="Q24" s="203" t="s">
        <v>670</v>
      </c>
      <c r="R24" s="203" t="s">
        <v>670</v>
      </c>
      <c r="S24" s="203" t="s">
        <v>670</v>
      </c>
    </row>
    <row r="25" spans="1:19" s="197" customFormat="1" ht="70" customHeight="1">
      <c r="A25" s="240"/>
      <c r="B25" s="243"/>
      <c r="C25" s="243"/>
      <c r="D25" s="195" t="s">
        <v>673</v>
      </c>
      <c r="E25" s="256"/>
      <c r="F25" s="254"/>
      <c r="G25" s="255"/>
      <c r="H25" s="254"/>
      <c r="I25" s="256"/>
      <c r="J25" s="257"/>
      <c r="K25" s="254"/>
      <c r="L25" s="254"/>
      <c r="M25" s="254"/>
      <c r="N25" s="256"/>
      <c r="O25" s="203" t="s">
        <v>670</v>
      </c>
      <c r="P25" s="203" t="s">
        <v>670</v>
      </c>
      <c r="Q25" s="203" t="s">
        <v>670</v>
      </c>
      <c r="R25" s="203" t="s">
        <v>670</v>
      </c>
      <c r="S25" s="203" t="s">
        <v>670</v>
      </c>
    </row>
    <row r="26" spans="1:19" s="197" customFormat="1" ht="78.5" customHeight="1">
      <c r="A26" s="240"/>
      <c r="B26" s="243"/>
      <c r="C26" s="243"/>
      <c r="D26" s="195" t="s">
        <v>674</v>
      </c>
      <c r="E26" s="198" t="s">
        <v>676</v>
      </c>
      <c r="F26" s="203">
        <v>3</v>
      </c>
      <c r="G26" s="204" t="s">
        <v>682</v>
      </c>
      <c r="H26" s="203">
        <v>1</v>
      </c>
      <c r="I26" s="198" t="s">
        <v>683</v>
      </c>
      <c r="J26" s="257"/>
      <c r="K26" s="202">
        <v>2</v>
      </c>
      <c r="L26" s="202">
        <v>6</v>
      </c>
      <c r="M26" s="198" t="s">
        <v>689</v>
      </c>
      <c r="N26" s="256"/>
      <c r="O26" s="203" t="s">
        <v>670</v>
      </c>
      <c r="P26" s="203">
        <v>3</v>
      </c>
      <c r="Q26" s="203">
        <v>1</v>
      </c>
      <c r="R26" s="203">
        <v>1</v>
      </c>
      <c r="S26" s="203">
        <v>3</v>
      </c>
    </row>
    <row r="27" spans="1:19" s="197" customFormat="1" ht="70" customHeight="1">
      <c r="A27" s="241"/>
      <c r="B27" s="244"/>
      <c r="C27" s="244"/>
      <c r="D27" s="198" t="s">
        <v>684</v>
      </c>
      <c r="E27" s="205" t="s">
        <v>685</v>
      </c>
      <c r="F27" s="189">
        <v>3</v>
      </c>
      <c r="G27" s="205" t="s">
        <v>686</v>
      </c>
      <c r="H27" s="189">
        <v>1</v>
      </c>
      <c r="I27" s="205" t="s">
        <v>687</v>
      </c>
      <c r="J27" s="205" t="s">
        <v>688</v>
      </c>
      <c r="K27" s="189">
        <v>2</v>
      </c>
      <c r="L27" s="189">
        <v>6</v>
      </c>
      <c r="M27" s="205" t="s">
        <v>689</v>
      </c>
      <c r="N27" s="205" t="s">
        <v>690</v>
      </c>
      <c r="O27" s="203" t="s">
        <v>670</v>
      </c>
      <c r="P27" s="203">
        <v>3</v>
      </c>
      <c r="Q27" s="203">
        <v>1</v>
      </c>
      <c r="R27" s="203">
        <v>1</v>
      </c>
      <c r="S27" s="203">
        <v>3</v>
      </c>
    </row>
    <row r="28" spans="1:19" s="105" customFormat="1" ht="26">
      <c r="A28" s="232"/>
      <c r="B28" s="232"/>
      <c r="C28" s="232"/>
      <c r="D28" s="232"/>
      <c r="E28" s="245" t="str">
        <f>封面!E1</f>
        <v>一次性胰胆成像导管过程失效模式及后果分析（PFMEA)（G06 欧盟）
Single-use Video Pancreaticobiliary Scope PFMEA （G06 EU）</v>
      </c>
      <c r="F28" s="246"/>
      <c r="G28" s="246"/>
      <c r="H28" s="246"/>
      <c r="I28" s="246"/>
      <c r="J28" s="246"/>
      <c r="K28" s="246"/>
      <c r="L28" s="247"/>
      <c r="M28" s="113" t="s">
        <v>301</v>
      </c>
      <c r="N28" s="263" t="str">
        <f>封面!L1</f>
        <v>TM-0001083</v>
      </c>
      <c r="O28" s="263"/>
      <c r="P28" s="263"/>
      <c r="Q28" s="263"/>
      <c r="R28" s="263"/>
      <c r="S28" s="263"/>
    </row>
    <row r="29" spans="1:19" ht="26">
      <c r="A29" s="232"/>
      <c r="B29" s="232"/>
      <c r="C29" s="232"/>
      <c r="D29" s="232"/>
      <c r="E29" s="248"/>
      <c r="F29" s="249"/>
      <c r="G29" s="249"/>
      <c r="H29" s="249"/>
      <c r="I29" s="249"/>
      <c r="J29" s="249"/>
      <c r="K29" s="249"/>
      <c r="L29" s="250"/>
      <c r="M29" s="113" t="s">
        <v>253</v>
      </c>
      <c r="N29" s="263" t="str">
        <f>封面!L2</f>
        <v>A/1</v>
      </c>
      <c r="O29" s="263"/>
      <c r="P29" s="263"/>
      <c r="Q29" s="263"/>
      <c r="R29" s="263"/>
      <c r="S29" s="263"/>
    </row>
    <row r="30" spans="1:19" ht="42" customHeight="1">
      <c r="A30" s="232"/>
      <c r="B30" s="232"/>
      <c r="C30" s="232"/>
      <c r="D30" s="232"/>
      <c r="E30" s="251"/>
      <c r="F30" s="252"/>
      <c r="G30" s="252"/>
      <c r="H30" s="252"/>
      <c r="I30" s="252"/>
      <c r="J30" s="252"/>
      <c r="K30" s="252"/>
      <c r="L30" s="253"/>
      <c r="M30" s="114" t="s">
        <v>237</v>
      </c>
      <c r="N30" s="264" t="s">
        <v>596</v>
      </c>
      <c r="O30" s="265"/>
      <c r="P30" s="265"/>
      <c r="Q30" s="265"/>
      <c r="R30" s="265"/>
      <c r="S30" s="265"/>
    </row>
    <row r="31" spans="1:19" s="105" customFormat="1" ht="26">
      <c r="A31" s="237" t="s">
        <v>238</v>
      </c>
      <c r="B31" s="237" t="s">
        <v>217</v>
      </c>
      <c r="C31" s="237" t="s">
        <v>218</v>
      </c>
      <c r="D31" s="237" t="s">
        <v>219</v>
      </c>
      <c r="E31" s="237" t="s">
        <v>220</v>
      </c>
      <c r="F31" s="191" t="s">
        <v>262</v>
      </c>
      <c r="G31" s="237" t="s">
        <v>221</v>
      </c>
      <c r="H31" s="191" t="s">
        <v>263</v>
      </c>
      <c r="I31" s="237" t="s">
        <v>234</v>
      </c>
      <c r="J31" s="237"/>
      <c r="K31" s="191" t="s">
        <v>222</v>
      </c>
      <c r="L31" s="191" t="s">
        <v>223</v>
      </c>
      <c r="M31" s="237" t="s">
        <v>224</v>
      </c>
      <c r="N31" s="237" t="s">
        <v>225</v>
      </c>
      <c r="O31" s="237" t="s">
        <v>226</v>
      </c>
      <c r="P31" s="237"/>
      <c r="Q31" s="237"/>
      <c r="R31" s="237"/>
      <c r="S31" s="237"/>
    </row>
    <row r="32" spans="1:19" s="105" customFormat="1" ht="13">
      <c r="A32" s="238"/>
      <c r="B32" s="237"/>
      <c r="C32" s="238"/>
      <c r="D32" s="238"/>
      <c r="E32" s="238"/>
      <c r="F32" s="192" t="s">
        <v>227</v>
      </c>
      <c r="G32" s="238"/>
      <c r="H32" s="192" t="s">
        <v>228</v>
      </c>
      <c r="I32" s="192" t="s">
        <v>229</v>
      </c>
      <c r="J32" s="192" t="s">
        <v>230</v>
      </c>
      <c r="K32" s="192" t="s">
        <v>231</v>
      </c>
      <c r="L32" s="192" t="s">
        <v>232</v>
      </c>
      <c r="M32" s="238"/>
      <c r="N32" s="238"/>
      <c r="O32" s="192" t="s">
        <v>244</v>
      </c>
      <c r="P32" s="192" t="s">
        <v>227</v>
      </c>
      <c r="Q32" s="192" t="s">
        <v>228</v>
      </c>
      <c r="R32" s="192" t="s">
        <v>231</v>
      </c>
      <c r="S32" s="192" t="s">
        <v>232</v>
      </c>
    </row>
    <row r="33" spans="1:19" ht="80" customHeight="1">
      <c r="A33" s="289" t="s">
        <v>677</v>
      </c>
      <c r="B33" s="292" t="s">
        <v>205</v>
      </c>
      <c r="C33" s="124" t="s">
        <v>291</v>
      </c>
      <c r="D33" s="124" t="s">
        <v>292</v>
      </c>
      <c r="E33" s="124" t="s">
        <v>293</v>
      </c>
      <c r="F33" s="161">
        <v>3</v>
      </c>
      <c r="G33" s="124" t="s">
        <v>245</v>
      </c>
      <c r="H33" s="161">
        <v>2</v>
      </c>
      <c r="I33" s="122" t="s">
        <v>246</v>
      </c>
      <c r="J33" s="124" t="s">
        <v>355</v>
      </c>
      <c r="K33" s="161">
        <v>1</v>
      </c>
      <c r="L33" s="143">
        <v>6</v>
      </c>
      <c r="M33" s="124" t="s">
        <v>582</v>
      </c>
      <c r="N33" s="164" t="s">
        <v>662</v>
      </c>
      <c r="O33" s="164" t="s">
        <v>662</v>
      </c>
      <c r="P33" s="164" t="s">
        <v>662</v>
      </c>
      <c r="Q33" s="164" t="s">
        <v>662</v>
      </c>
      <c r="R33" s="164" t="s">
        <v>662</v>
      </c>
      <c r="S33" s="164" t="s">
        <v>662</v>
      </c>
    </row>
    <row r="34" spans="1:19" ht="80" customHeight="1">
      <c r="A34" s="290"/>
      <c r="B34" s="292"/>
      <c r="C34" s="124" t="s">
        <v>294</v>
      </c>
      <c r="D34" s="261" t="s">
        <v>247</v>
      </c>
      <c r="E34" s="261" t="s">
        <v>248</v>
      </c>
      <c r="F34" s="259">
        <v>4</v>
      </c>
      <c r="G34" s="261" t="s">
        <v>249</v>
      </c>
      <c r="H34" s="259">
        <v>2</v>
      </c>
      <c r="I34" s="261" t="s">
        <v>250</v>
      </c>
      <c r="J34" s="261" t="s">
        <v>379</v>
      </c>
      <c r="K34" s="259">
        <v>4</v>
      </c>
      <c r="L34" s="259">
        <v>24</v>
      </c>
      <c r="M34" s="261" t="s">
        <v>336</v>
      </c>
      <c r="N34" s="261" t="s">
        <v>583</v>
      </c>
      <c r="O34" s="261" t="s">
        <v>661</v>
      </c>
      <c r="P34" s="259">
        <v>4</v>
      </c>
      <c r="Q34" s="259">
        <v>1</v>
      </c>
      <c r="R34" s="259">
        <v>4</v>
      </c>
      <c r="S34" s="259">
        <v>12</v>
      </c>
    </row>
    <row r="35" spans="1:19" ht="80" customHeight="1">
      <c r="A35" s="290"/>
      <c r="B35" s="292"/>
      <c r="C35" s="124" t="s">
        <v>206</v>
      </c>
      <c r="D35" s="262"/>
      <c r="E35" s="262"/>
      <c r="F35" s="260"/>
      <c r="G35" s="262"/>
      <c r="H35" s="260"/>
      <c r="I35" s="262"/>
      <c r="J35" s="262"/>
      <c r="K35" s="260"/>
      <c r="L35" s="260"/>
      <c r="M35" s="262"/>
      <c r="N35" s="262"/>
      <c r="O35" s="262"/>
      <c r="P35" s="260"/>
      <c r="Q35" s="260"/>
      <c r="R35" s="260"/>
      <c r="S35" s="260"/>
    </row>
    <row r="36" spans="1:19" ht="80" customHeight="1">
      <c r="A36" s="282">
        <v>11</v>
      </c>
      <c r="B36" s="261" t="s">
        <v>207</v>
      </c>
      <c r="C36" s="261" t="s">
        <v>295</v>
      </c>
      <c r="D36" s="124" t="s">
        <v>296</v>
      </c>
      <c r="E36" s="124" t="s">
        <v>378</v>
      </c>
      <c r="F36" s="259">
        <v>3</v>
      </c>
      <c r="G36" s="261" t="s">
        <v>297</v>
      </c>
      <c r="H36" s="259">
        <v>2</v>
      </c>
      <c r="I36" s="261" t="s">
        <v>298</v>
      </c>
      <c r="J36" s="261" t="s">
        <v>214</v>
      </c>
      <c r="K36" s="259">
        <v>1</v>
      </c>
      <c r="L36" s="259">
        <v>6</v>
      </c>
      <c r="M36" s="261" t="s">
        <v>279</v>
      </c>
      <c r="N36" s="164" t="s">
        <v>662</v>
      </c>
      <c r="O36" s="164" t="s">
        <v>662</v>
      </c>
      <c r="P36" s="164" t="s">
        <v>662</v>
      </c>
      <c r="Q36" s="164" t="s">
        <v>662</v>
      </c>
      <c r="R36" s="164" t="s">
        <v>662</v>
      </c>
      <c r="S36" s="164" t="s">
        <v>662</v>
      </c>
    </row>
    <row r="37" spans="1:19" ht="80" customHeight="1">
      <c r="A37" s="284"/>
      <c r="B37" s="262"/>
      <c r="C37" s="262"/>
      <c r="D37" s="124" t="s">
        <v>251</v>
      </c>
      <c r="E37" s="124" t="s">
        <v>378</v>
      </c>
      <c r="F37" s="260"/>
      <c r="G37" s="262"/>
      <c r="H37" s="260"/>
      <c r="I37" s="262"/>
      <c r="J37" s="262"/>
      <c r="K37" s="260"/>
      <c r="L37" s="260"/>
      <c r="M37" s="288"/>
      <c r="N37" s="164" t="s">
        <v>662</v>
      </c>
      <c r="O37" s="164" t="s">
        <v>662</v>
      </c>
      <c r="P37" s="164" t="s">
        <v>662</v>
      </c>
      <c r="Q37" s="164" t="s">
        <v>662</v>
      </c>
      <c r="R37" s="164" t="s">
        <v>662</v>
      </c>
      <c r="S37" s="164" t="s">
        <v>662</v>
      </c>
    </row>
    <row r="38" spans="1:19" ht="40" customHeight="1">
      <c r="A38" s="135">
        <v>12</v>
      </c>
      <c r="B38" s="124" t="s">
        <v>252</v>
      </c>
      <c r="C38" s="281" t="s">
        <v>203</v>
      </c>
      <c r="D38" s="281"/>
      <c r="E38" s="281"/>
      <c r="F38" s="281"/>
      <c r="G38" s="281"/>
      <c r="H38" s="281"/>
      <c r="I38" s="281"/>
      <c r="J38" s="281"/>
      <c r="K38" s="281"/>
      <c r="L38" s="281"/>
      <c r="M38" s="281"/>
      <c r="N38" s="281"/>
      <c r="O38" s="281"/>
      <c r="P38" s="281"/>
      <c r="Q38" s="281"/>
      <c r="R38" s="281"/>
      <c r="S38" s="281"/>
    </row>
    <row r="39" spans="1:19" s="105" customFormat="1" ht="80" customHeight="1">
      <c r="A39" s="147">
        <v>13</v>
      </c>
      <c r="B39" s="148" t="s">
        <v>208</v>
      </c>
      <c r="C39" s="148" t="s">
        <v>209</v>
      </c>
      <c r="D39" s="148" t="s">
        <v>299</v>
      </c>
      <c r="E39" s="148" t="s">
        <v>300</v>
      </c>
      <c r="F39" s="161">
        <v>4</v>
      </c>
      <c r="G39" s="148" t="s">
        <v>213</v>
      </c>
      <c r="H39" s="161">
        <v>2</v>
      </c>
      <c r="I39" s="148" t="s">
        <v>380</v>
      </c>
      <c r="J39" s="148" t="s">
        <v>215</v>
      </c>
      <c r="K39" s="161">
        <v>4</v>
      </c>
      <c r="L39" s="149">
        <v>32</v>
      </c>
      <c r="M39" s="148" t="s">
        <v>337</v>
      </c>
      <c r="N39" s="150" t="s">
        <v>269</v>
      </c>
      <c r="O39" s="189" t="s">
        <v>666</v>
      </c>
      <c r="P39" s="190">
        <v>4</v>
      </c>
      <c r="Q39" s="190">
        <v>1</v>
      </c>
      <c r="R39" s="190">
        <v>4</v>
      </c>
      <c r="S39" s="190">
        <v>16</v>
      </c>
    </row>
    <row r="40" spans="1:19" ht="40" customHeight="1">
      <c r="A40" s="135">
        <v>14</v>
      </c>
      <c r="B40" s="124" t="s">
        <v>210</v>
      </c>
      <c r="C40" s="281" t="s">
        <v>203</v>
      </c>
      <c r="D40" s="281"/>
      <c r="E40" s="281"/>
      <c r="F40" s="281"/>
      <c r="G40" s="281"/>
      <c r="H40" s="281"/>
      <c r="I40" s="281"/>
      <c r="J40" s="281"/>
      <c r="K40" s="281"/>
      <c r="L40" s="281"/>
      <c r="M40" s="281"/>
      <c r="N40" s="281"/>
      <c r="O40" s="281"/>
      <c r="P40" s="281"/>
      <c r="Q40" s="281"/>
      <c r="R40" s="281"/>
      <c r="S40" s="281"/>
    </row>
    <row r="41" spans="1:19" s="105" customFormat="1" ht="26">
      <c r="A41" s="232"/>
      <c r="B41" s="232"/>
      <c r="C41" s="232"/>
      <c r="D41" s="232"/>
      <c r="E41" s="245" t="str">
        <f t="shared" ref="E41" si="0">$E$28</f>
        <v>一次性胰胆成像导管过程失效模式及后果分析（PFMEA)（G06 欧盟）
Single-use Video Pancreaticobiliary Scope PFMEA （G06 EU）</v>
      </c>
      <c r="F41" s="246"/>
      <c r="G41" s="246"/>
      <c r="H41" s="246"/>
      <c r="I41" s="246"/>
      <c r="J41" s="246"/>
      <c r="K41" s="246"/>
      <c r="L41" s="247"/>
      <c r="M41" s="113" t="s">
        <v>197</v>
      </c>
      <c r="N41" s="263" t="str">
        <f>封面!$L$1</f>
        <v>TM-0001083</v>
      </c>
      <c r="O41" s="263"/>
      <c r="P41" s="263"/>
      <c r="Q41" s="263"/>
      <c r="R41" s="263"/>
      <c r="S41" s="263"/>
    </row>
    <row r="42" spans="1:19" ht="26">
      <c r="A42" s="232"/>
      <c r="B42" s="232"/>
      <c r="C42" s="232"/>
      <c r="D42" s="232"/>
      <c r="E42" s="248"/>
      <c r="F42" s="249"/>
      <c r="G42" s="249"/>
      <c r="H42" s="249"/>
      <c r="I42" s="249"/>
      <c r="J42" s="249"/>
      <c r="K42" s="249"/>
      <c r="L42" s="250"/>
      <c r="M42" s="113" t="s">
        <v>198</v>
      </c>
      <c r="N42" s="263" t="str">
        <f>封面!$L$2</f>
        <v>A/1</v>
      </c>
      <c r="O42" s="263"/>
      <c r="P42" s="263"/>
      <c r="Q42" s="263"/>
      <c r="R42" s="263"/>
      <c r="S42" s="263"/>
    </row>
    <row r="43" spans="1:19" ht="42" customHeight="1">
      <c r="A43" s="232"/>
      <c r="B43" s="232"/>
      <c r="C43" s="232"/>
      <c r="D43" s="232"/>
      <c r="E43" s="251"/>
      <c r="F43" s="252"/>
      <c r="G43" s="252"/>
      <c r="H43" s="252"/>
      <c r="I43" s="252"/>
      <c r="J43" s="252"/>
      <c r="K43" s="252"/>
      <c r="L43" s="253"/>
      <c r="M43" s="114" t="s">
        <v>199</v>
      </c>
      <c r="N43" s="264" t="s">
        <v>596</v>
      </c>
      <c r="O43" s="265"/>
      <c r="P43" s="265"/>
      <c r="Q43" s="265"/>
      <c r="R43" s="265"/>
      <c r="S43" s="265"/>
    </row>
    <row r="44" spans="1:19" s="105" customFormat="1" ht="26">
      <c r="A44" s="237" t="s">
        <v>238</v>
      </c>
      <c r="B44" s="237" t="s">
        <v>217</v>
      </c>
      <c r="C44" s="237" t="s">
        <v>218</v>
      </c>
      <c r="D44" s="237" t="s">
        <v>219</v>
      </c>
      <c r="E44" s="237" t="s">
        <v>220</v>
      </c>
      <c r="F44" s="191" t="s">
        <v>262</v>
      </c>
      <c r="G44" s="237" t="s">
        <v>221</v>
      </c>
      <c r="H44" s="191" t="s">
        <v>263</v>
      </c>
      <c r="I44" s="237" t="s">
        <v>234</v>
      </c>
      <c r="J44" s="237"/>
      <c r="K44" s="191" t="s">
        <v>222</v>
      </c>
      <c r="L44" s="191" t="s">
        <v>223</v>
      </c>
      <c r="M44" s="237" t="s">
        <v>224</v>
      </c>
      <c r="N44" s="237" t="s">
        <v>225</v>
      </c>
      <c r="O44" s="237" t="s">
        <v>226</v>
      </c>
      <c r="P44" s="237"/>
      <c r="Q44" s="237"/>
      <c r="R44" s="237"/>
      <c r="S44" s="237"/>
    </row>
    <row r="45" spans="1:19" s="105" customFormat="1" ht="13">
      <c r="A45" s="238"/>
      <c r="B45" s="237"/>
      <c r="C45" s="238"/>
      <c r="D45" s="238"/>
      <c r="E45" s="238"/>
      <c r="F45" s="192" t="s">
        <v>227</v>
      </c>
      <c r="G45" s="238"/>
      <c r="H45" s="192" t="s">
        <v>228</v>
      </c>
      <c r="I45" s="192" t="s">
        <v>229</v>
      </c>
      <c r="J45" s="192" t="s">
        <v>230</v>
      </c>
      <c r="K45" s="192" t="s">
        <v>231</v>
      </c>
      <c r="L45" s="192" t="s">
        <v>232</v>
      </c>
      <c r="M45" s="238"/>
      <c r="N45" s="238"/>
      <c r="O45" s="192" t="s">
        <v>244</v>
      </c>
      <c r="P45" s="192" t="s">
        <v>227</v>
      </c>
      <c r="Q45" s="192" t="s">
        <v>228</v>
      </c>
      <c r="R45" s="192" t="s">
        <v>231</v>
      </c>
      <c r="S45" s="192" t="s">
        <v>232</v>
      </c>
    </row>
    <row r="46" spans="1:19" s="131" customFormat="1" ht="40" customHeight="1">
      <c r="A46" s="282">
        <v>15</v>
      </c>
      <c r="B46" s="285" t="s">
        <v>211</v>
      </c>
      <c r="C46" s="151" t="s">
        <v>312</v>
      </c>
      <c r="D46" s="151" t="s">
        <v>313</v>
      </c>
      <c r="E46" s="151" t="s">
        <v>314</v>
      </c>
      <c r="F46" s="158">
        <v>3</v>
      </c>
      <c r="G46" s="151" t="s">
        <v>315</v>
      </c>
      <c r="H46" s="158">
        <v>1</v>
      </c>
      <c r="I46" s="151" t="s">
        <v>316</v>
      </c>
      <c r="J46" s="151" t="s">
        <v>216</v>
      </c>
      <c r="K46" s="158">
        <v>1</v>
      </c>
      <c r="L46" s="152">
        <v>3</v>
      </c>
      <c r="M46" s="151" t="s">
        <v>212</v>
      </c>
      <c r="N46" s="164" t="s">
        <v>662</v>
      </c>
      <c r="O46" s="164" t="s">
        <v>662</v>
      </c>
      <c r="P46" s="164" t="s">
        <v>662</v>
      </c>
      <c r="Q46" s="164" t="s">
        <v>662</v>
      </c>
      <c r="R46" s="164" t="s">
        <v>662</v>
      </c>
      <c r="S46" s="164" t="s">
        <v>662</v>
      </c>
    </row>
    <row r="47" spans="1:19" s="131" customFormat="1" ht="80" customHeight="1">
      <c r="A47" s="283"/>
      <c r="B47" s="286"/>
      <c r="C47" s="151" t="s">
        <v>317</v>
      </c>
      <c r="D47" s="151" t="s">
        <v>302</v>
      </c>
      <c r="E47" s="151" t="s">
        <v>303</v>
      </c>
      <c r="F47" s="158">
        <v>4</v>
      </c>
      <c r="G47" s="151" t="s">
        <v>382</v>
      </c>
      <c r="H47" s="158">
        <v>2</v>
      </c>
      <c r="I47" s="151" t="s">
        <v>381</v>
      </c>
      <c r="J47" s="151" t="s">
        <v>255</v>
      </c>
      <c r="K47" s="158">
        <v>2</v>
      </c>
      <c r="L47" s="152">
        <f>F47*H47*K47</f>
        <v>16</v>
      </c>
      <c r="M47" s="151" t="s">
        <v>212</v>
      </c>
      <c r="N47" s="164" t="s">
        <v>662</v>
      </c>
      <c r="O47" s="164" t="s">
        <v>662</v>
      </c>
      <c r="P47" s="164" t="s">
        <v>662</v>
      </c>
      <c r="Q47" s="164" t="s">
        <v>662</v>
      </c>
      <c r="R47" s="164" t="s">
        <v>662</v>
      </c>
      <c r="S47" s="164" t="s">
        <v>662</v>
      </c>
    </row>
    <row r="48" spans="1:19" s="131" customFormat="1" ht="80" customHeight="1">
      <c r="A48" s="284"/>
      <c r="B48" s="287"/>
      <c r="C48" s="151" t="s">
        <v>318</v>
      </c>
      <c r="D48" s="151" t="s">
        <v>256</v>
      </c>
      <c r="E48" s="151" t="s">
        <v>304</v>
      </c>
      <c r="F48" s="158">
        <v>3</v>
      </c>
      <c r="G48" s="151" t="s">
        <v>382</v>
      </c>
      <c r="H48" s="158">
        <v>2</v>
      </c>
      <c r="I48" s="151" t="s">
        <v>381</v>
      </c>
      <c r="J48" s="151" t="s">
        <v>255</v>
      </c>
      <c r="K48" s="158">
        <v>2</v>
      </c>
      <c r="L48" s="152">
        <f>F48*H48*K48</f>
        <v>12</v>
      </c>
      <c r="M48" s="151" t="s">
        <v>212</v>
      </c>
      <c r="N48" s="180" t="s">
        <v>662</v>
      </c>
      <c r="O48" s="180" t="s">
        <v>662</v>
      </c>
      <c r="P48" s="180" t="s">
        <v>662</v>
      </c>
      <c r="Q48" s="180" t="s">
        <v>662</v>
      </c>
      <c r="R48" s="180" t="s">
        <v>662</v>
      </c>
      <c r="S48" s="180" t="s">
        <v>662</v>
      </c>
    </row>
    <row r="49" spans="1:19" s="131" customFormat="1" ht="40" customHeight="1">
      <c r="A49" s="278" t="s">
        <v>305</v>
      </c>
      <c r="B49" s="279"/>
      <c r="C49" s="279"/>
      <c r="D49" s="279"/>
      <c r="E49" s="279"/>
      <c r="F49" s="279"/>
      <c r="G49" s="279"/>
      <c r="H49" s="279"/>
      <c r="I49" s="279"/>
      <c r="J49" s="279"/>
      <c r="K49" s="279"/>
      <c r="L49" s="279"/>
      <c r="M49" s="279"/>
      <c r="N49" s="279"/>
      <c r="O49" s="279"/>
      <c r="P49" s="279"/>
      <c r="Q49" s="279"/>
      <c r="R49" s="279"/>
      <c r="S49" s="280"/>
    </row>
    <row r="50" spans="1:19" s="207" customFormat="1" ht="30" customHeight="1">
      <c r="A50" s="206"/>
      <c r="B50" s="267" t="s">
        <v>187</v>
      </c>
      <c r="C50" s="268"/>
      <c r="D50" s="268"/>
      <c r="E50" s="268"/>
      <c r="F50" s="269"/>
      <c r="G50" s="266" t="s">
        <v>306</v>
      </c>
      <c r="H50" s="266"/>
      <c r="I50" s="266"/>
      <c r="J50" s="267" t="s">
        <v>188</v>
      </c>
      <c r="K50" s="268"/>
      <c r="L50" s="268"/>
      <c r="M50" s="269"/>
      <c r="N50" s="267" t="s">
        <v>189</v>
      </c>
      <c r="O50" s="268"/>
      <c r="P50" s="268"/>
      <c r="Q50" s="268"/>
      <c r="R50" s="268"/>
      <c r="S50" s="269"/>
    </row>
    <row r="51" spans="1:19" s="208" customFormat="1" ht="60" customHeight="1">
      <c r="A51" s="206"/>
      <c r="B51" s="266" t="s">
        <v>307</v>
      </c>
      <c r="C51" s="266"/>
      <c r="D51" s="266"/>
      <c r="E51" s="266"/>
      <c r="F51" s="266"/>
      <c r="G51" s="266" t="s">
        <v>691</v>
      </c>
      <c r="H51" s="266"/>
      <c r="I51" s="266"/>
      <c r="J51" s="266" t="s">
        <v>308</v>
      </c>
      <c r="K51" s="266"/>
      <c r="L51" s="266"/>
      <c r="M51" s="266"/>
      <c r="N51" s="267" t="s">
        <v>190</v>
      </c>
      <c r="O51" s="268"/>
      <c r="P51" s="268"/>
      <c r="Q51" s="268"/>
      <c r="R51" s="268"/>
      <c r="S51" s="269"/>
    </row>
    <row r="52" spans="1:19" s="209" customFormat="1" ht="60" customHeight="1">
      <c r="A52" s="206"/>
      <c r="B52" s="266" t="s">
        <v>309</v>
      </c>
      <c r="C52" s="266"/>
      <c r="D52" s="266"/>
      <c r="E52" s="266"/>
      <c r="F52" s="266"/>
      <c r="G52" s="266" t="s">
        <v>692</v>
      </c>
      <c r="H52" s="266"/>
      <c r="I52" s="266"/>
      <c r="J52" s="266" t="s">
        <v>191</v>
      </c>
      <c r="K52" s="266"/>
      <c r="L52" s="266"/>
      <c r="M52" s="266"/>
      <c r="N52" s="267" t="s">
        <v>693</v>
      </c>
      <c r="O52" s="268"/>
      <c r="P52" s="268"/>
      <c r="Q52" s="270"/>
      <c r="R52" s="270"/>
      <c r="S52" s="271"/>
    </row>
    <row r="53" spans="1:19" s="209" customFormat="1" ht="60" customHeight="1">
      <c r="A53" s="206"/>
      <c r="B53" s="266" t="s">
        <v>257</v>
      </c>
      <c r="C53" s="266"/>
      <c r="D53" s="266"/>
      <c r="E53" s="266"/>
      <c r="F53" s="266"/>
      <c r="G53" s="266" t="s">
        <v>694</v>
      </c>
      <c r="H53" s="266"/>
      <c r="I53" s="266"/>
      <c r="J53" s="266" t="s">
        <v>192</v>
      </c>
      <c r="K53" s="266"/>
      <c r="L53" s="272"/>
      <c r="M53" s="272"/>
      <c r="N53" s="267" t="s">
        <v>695</v>
      </c>
      <c r="O53" s="268"/>
      <c r="P53" s="268"/>
      <c r="Q53" s="270"/>
      <c r="R53" s="270"/>
      <c r="S53" s="271"/>
    </row>
    <row r="54" spans="1:19" s="209" customFormat="1" ht="60" customHeight="1">
      <c r="A54" s="210"/>
      <c r="B54" s="266" t="s">
        <v>310</v>
      </c>
      <c r="C54" s="266"/>
      <c r="D54" s="266"/>
      <c r="E54" s="266"/>
      <c r="F54" s="266"/>
      <c r="G54" s="266" t="s">
        <v>696</v>
      </c>
      <c r="H54" s="266"/>
      <c r="I54" s="266"/>
      <c r="J54" s="266" t="s">
        <v>193</v>
      </c>
      <c r="K54" s="266"/>
      <c r="L54" s="272"/>
      <c r="M54" s="272"/>
      <c r="N54" s="267" t="s">
        <v>697</v>
      </c>
      <c r="O54" s="270"/>
      <c r="P54" s="270"/>
      <c r="Q54" s="270"/>
      <c r="R54" s="270"/>
      <c r="S54" s="271"/>
    </row>
    <row r="55" spans="1:19" s="209" customFormat="1" ht="60" customHeight="1">
      <c r="A55" s="211"/>
      <c r="B55" s="266" t="s">
        <v>311</v>
      </c>
      <c r="C55" s="266"/>
      <c r="D55" s="266"/>
      <c r="E55" s="266"/>
      <c r="F55" s="266"/>
      <c r="G55" s="266" t="s">
        <v>698</v>
      </c>
      <c r="H55" s="266"/>
      <c r="I55" s="266"/>
      <c r="J55" s="266" t="s">
        <v>194</v>
      </c>
      <c r="K55" s="266"/>
      <c r="L55" s="272"/>
      <c r="M55" s="272"/>
      <c r="N55" s="267" t="s">
        <v>699</v>
      </c>
      <c r="O55" s="270"/>
      <c r="P55" s="270"/>
      <c r="Q55" s="270"/>
      <c r="R55" s="270"/>
      <c r="S55" s="271"/>
    </row>
    <row r="56" spans="1:19">
      <c r="A56" s="273"/>
      <c r="B56" s="274"/>
      <c r="C56" s="274"/>
      <c r="D56" s="274"/>
      <c r="E56" s="274"/>
      <c r="F56" s="274"/>
      <c r="G56" s="274"/>
      <c r="H56" s="274"/>
      <c r="I56" s="274"/>
      <c r="J56" s="274"/>
      <c r="K56" s="274"/>
      <c r="L56" s="274"/>
      <c r="M56" s="274"/>
      <c r="N56" s="274"/>
      <c r="O56" s="274"/>
      <c r="P56" s="274"/>
      <c r="Q56" s="274"/>
      <c r="R56" s="274"/>
      <c r="S56" s="275"/>
    </row>
    <row r="57" spans="1:19">
      <c r="A57" s="276" t="s">
        <v>639</v>
      </c>
      <c r="B57" s="276"/>
      <c r="C57" s="276"/>
      <c r="D57" s="276"/>
      <c r="E57" s="276"/>
      <c r="F57" s="276"/>
      <c r="G57" s="276"/>
      <c r="H57" s="276"/>
      <c r="I57" s="276"/>
      <c r="J57" s="276"/>
      <c r="K57" s="276"/>
      <c r="L57" s="276"/>
      <c r="M57" s="276"/>
      <c r="N57" s="276"/>
      <c r="O57" s="276"/>
      <c r="P57" s="276"/>
      <c r="Q57" s="276"/>
      <c r="R57" s="276"/>
      <c r="S57" s="276"/>
    </row>
    <row r="58" spans="1:19">
      <c r="A58" s="277"/>
      <c r="B58" s="277"/>
      <c r="C58" s="277"/>
      <c r="D58" s="277"/>
      <c r="E58" s="277"/>
      <c r="F58" s="277"/>
      <c r="G58" s="277"/>
      <c r="H58" s="277"/>
      <c r="I58" s="277"/>
      <c r="J58" s="277"/>
      <c r="K58" s="277"/>
      <c r="L58" s="277"/>
      <c r="M58" s="277"/>
      <c r="N58" s="277"/>
      <c r="O58" s="277"/>
      <c r="P58" s="277"/>
      <c r="Q58" s="277"/>
      <c r="R58" s="277"/>
      <c r="S58" s="277"/>
    </row>
  </sheetData>
  <mergeCells count="146">
    <mergeCell ref="A1:D3"/>
    <mergeCell ref="E1:L3"/>
    <mergeCell ref="N1:S1"/>
    <mergeCell ref="N2:S2"/>
    <mergeCell ref="N3:S3"/>
    <mergeCell ref="A4:A5"/>
    <mergeCell ref="B4:B5"/>
    <mergeCell ref="C4:C5"/>
    <mergeCell ref="D4:D5"/>
    <mergeCell ref="E4:E5"/>
    <mergeCell ref="A11:A12"/>
    <mergeCell ref="B11:B12"/>
    <mergeCell ref="C11:C12"/>
    <mergeCell ref="A13:D15"/>
    <mergeCell ref="E13:L15"/>
    <mergeCell ref="N13:S13"/>
    <mergeCell ref="N14:S14"/>
    <mergeCell ref="N15:S15"/>
    <mergeCell ref="G4:G5"/>
    <mergeCell ref="I4:J4"/>
    <mergeCell ref="M4:M5"/>
    <mergeCell ref="N4:N5"/>
    <mergeCell ref="O4:S4"/>
    <mergeCell ref="A8:A10"/>
    <mergeCell ref="B8:B10"/>
    <mergeCell ref="C8:C9"/>
    <mergeCell ref="E8:E9"/>
    <mergeCell ref="H8:H9"/>
    <mergeCell ref="I16:J16"/>
    <mergeCell ref="M16:M17"/>
    <mergeCell ref="N16:N17"/>
    <mergeCell ref="O16:S16"/>
    <mergeCell ref="A16:A17"/>
    <mergeCell ref="B16:B17"/>
    <mergeCell ref="C16:C17"/>
    <mergeCell ref="D16:D17"/>
    <mergeCell ref="E16:E17"/>
    <mergeCell ref="G16:G17"/>
    <mergeCell ref="A19:A21"/>
    <mergeCell ref="B19:B21"/>
    <mergeCell ref="C19:C21"/>
    <mergeCell ref="C22:S22"/>
    <mergeCell ref="C23:S23"/>
    <mergeCell ref="A33:A35"/>
    <mergeCell ref="B33:B35"/>
    <mergeCell ref="D34:D35"/>
    <mergeCell ref="E34:E35"/>
    <mergeCell ref="F34:F35"/>
    <mergeCell ref="G34:G35"/>
    <mergeCell ref="H34:H35"/>
    <mergeCell ref="I34:I35"/>
    <mergeCell ref="P34:P35"/>
    <mergeCell ref="Q34:Q35"/>
    <mergeCell ref="R34:R35"/>
    <mergeCell ref="S34:S35"/>
    <mergeCell ref="M34:M35"/>
    <mergeCell ref="N34:N35"/>
    <mergeCell ref="O34:O35"/>
    <mergeCell ref="E24:E25"/>
    <mergeCell ref="A31:A32"/>
    <mergeCell ref="B31:B32"/>
    <mergeCell ref="C31:C32"/>
    <mergeCell ref="A49:S49"/>
    <mergeCell ref="B50:F50"/>
    <mergeCell ref="G50:I50"/>
    <mergeCell ref="J50:M50"/>
    <mergeCell ref="N50:S50"/>
    <mergeCell ref="C40:S40"/>
    <mergeCell ref="A46:A48"/>
    <mergeCell ref="B46:B48"/>
    <mergeCell ref="A28:D30"/>
    <mergeCell ref="E28:L30"/>
    <mergeCell ref="N28:S28"/>
    <mergeCell ref="N29:S29"/>
    <mergeCell ref="N30:S30"/>
    <mergeCell ref="C38:S38"/>
    <mergeCell ref="I36:I37"/>
    <mergeCell ref="J36:J37"/>
    <mergeCell ref="K36:K37"/>
    <mergeCell ref="L36:L37"/>
    <mergeCell ref="M36:M37"/>
    <mergeCell ref="A36:A37"/>
    <mergeCell ref="B36:B37"/>
    <mergeCell ref="C36:C37"/>
    <mergeCell ref="F36:F37"/>
    <mergeCell ref="G36:G37"/>
    <mergeCell ref="A56:S56"/>
    <mergeCell ref="A57:S58"/>
    <mergeCell ref="B53:F53"/>
    <mergeCell ref="G53:I53"/>
    <mergeCell ref="J53:M53"/>
    <mergeCell ref="N53:S53"/>
    <mergeCell ref="B54:F54"/>
    <mergeCell ref="G54:I54"/>
    <mergeCell ref="J54:M54"/>
    <mergeCell ref="N54:S54"/>
    <mergeCell ref="B51:F51"/>
    <mergeCell ref="G51:I51"/>
    <mergeCell ref="J51:M51"/>
    <mergeCell ref="N51:S51"/>
    <mergeCell ref="B52:F52"/>
    <mergeCell ref="G52:I52"/>
    <mergeCell ref="J52:M52"/>
    <mergeCell ref="N52:S52"/>
    <mergeCell ref="B55:F55"/>
    <mergeCell ref="G55:I55"/>
    <mergeCell ref="J55:M55"/>
    <mergeCell ref="N55:S55"/>
    <mergeCell ref="M24:M25"/>
    <mergeCell ref="N24:N26"/>
    <mergeCell ref="H36:H37"/>
    <mergeCell ref="J34:J35"/>
    <mergeCell ref="K34:K35"/>
    <mergeCell ref="L34:L35"/>
    <mergeCell ref="N41:S41"/>
    <mergeCell ref="N42:S42"/>
    <mergeCell ref="N43:S43"/>
    <mergeCell ref="M31:M32"/>
    <mergeCell ref="N31:N32"/>
    <mergeCell ref="O31:S31"/>
    <mergeCell ref="E44:E45"/>
    <mergeCell ref="D44:D45"/>
    <mergeCell ref="O44:S44"/>
    <mergeCell ref="N44:N45"/>
    <mergeCell ref="M44:M45"/>
    <mergeCell ref="I44:J44"/>
    <mergeCell ref="G44:G45"/>
    <mergeCell ref="C44:C45"/>
    <mergeCell ref="B44:B45"/>
    <mergeCell ref="A44:A45"/>
    <mergeCell ref="A24:A27"/>
    <mergeCell ref="B24:B27"/>
    <mergeCell ref="C24:C27"/>
    <mergeCell ref="A41:D43"/>
    <mergeCell ref="E41:L43"/>
    <mergeCell ref="D31:D32"/>
    <mergeCell ref="E31:E32"/>
    <mergeCell ref="G31:G32"/>
    <mergeCell ref="I31:J31"/>
    <mergeCell ref="F24:F25"/>
    <mergeCell ref="G24:G25"/>
    <mergeCell ref="H24:H25"/>
    <mergeCell ref="I24:I25"/>
    <mergeCell ref="J24:J26"/>
    <mergeCell ref="K24:K25"/>
    <mergeCell ref="L24:L25"/>
  </mergeCells>
  <phoneticPr fontId="29" type="noConversion"/>
  <pageMargins left="0.7" right="0.7" top="0.75" bottom="0.75" header="0.3" footer="0.3"/>
  <pageSetup paperSize="9" scale="65" orientation="landscape" r:id="rId1"/>
  <rowBreaks count="3" manualBreakCount="3">
    <brk id="12" max="16383" man="1"/>
    <brk id="27" max="16383" man="1"/>
    <brk id="40"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76"/>
  <sheetViews>
    <sheetView view="pageBreakPreview" zoomScale="55" zoomScaleNormal="100" zoomScaleSheetLayoutView="55" workbookViewId="0">
      <selection activeCell="I6" sqref="I6"/>
    </sheetView>
  </sheetViews>
  <sheetFormatPr defaultColWidth="9.1796875" defaultRowHeight="15"/>
  <cols>
    <col min="1" max="1" width="4.453125" style="120" customWidth="1"/>
    <col min="2" max="2" width="10.81640625" style="106" customWidth="1"/>
    <col min="3" max="3" width="14.81640625" style="106" customWidth="1"/>
    <col min="4" max="4" width="18.26953125" style="106" customWidth="1"/>
    <col min="5" max="5" width="15.54296875" style="107" customWidth="1"/>
    <col min="6" max="6" width="7.1796875" style="120" customWidth="1"/>
    <col min="7" max="7" width="16.54296875" style="108" customWidth="1"/>
    <col min="8" max="8" width="6.54296875" style="120" customWidth="1"/>
    <col min="9" max="9" width="21.81640625" style="106" customWidth="1"/>
    <col min="10" max="10" width="15.54296875" style="106" customWidth="1"/>
    <col min="11" max="11" width="6.54296875" style="120" customWidth="1"/>
    <col min="12" max="12" width="9.54296875" style="120" customWidth="1"/>
    <col min="13" max="13" width="14.7265625" style="106" customWidth="1"/>
    <col min="14" max="14" width="6.54296875" style="106" customWidth="1"/>
    <col min="15" max="15" width="13.7265625" style="106" customWidth="1"/>
    <col min="16" max="18" width="4.54296875" style="106" customWidth="1"/>
    <col min="19" max="19" width="5" style="106" customWidth="1"/>
    <col min="20" max="16384" width="9.1796875" style="106"/>
  </cols>
  <sheetData>
    <row r="1" spans="1:19" s="105" customFormat="1" ht="25" customHeight="1">
      <c r="A1" s="309"/>
      <c r="B1" s="309"/>
      <c r="C1" s="309"/>
      <c r="D1" s="309"/>
      <c r="E1" s="310" t="s">
        <v>604</v>
      </c>
      <c r="F1" s="311"/>
      <c r="G1" s="311"/>
      <c r="H1" s="311"/>
      <c r="I1" s="311"/>
      <c r="J1" s="311"/>
      <c r="K1" s="311"/>
      <c r="L1" s="311"/>
      <c r="M1" s="113" t="s">
        <v>437</v>
      </c>
      <c r="N1" s="347" t="str">
        <f>封面!L1</f>
        <v>TM-0001083</v>
      </c>
      <c r="O1" s="347"/>
      <c r="P1" s="347"/>
      <c r="Q1" s="347"/>
      <c r="R1" s="347"/>
      <c r="S1" s="347"/>
    </row>
    <row r="2" spans="1:19" s="105" customFormat="1" ht="25" customHeight="1">
      <c r="A2" s="309"/>
      <c r="B2" s="309"/>
      <c r="C2" s="309"/>
      <c r="D2" s="309"/>
      <c r="E2" s="311"/>
      <c r="F2" s="311"/>
      <c r="G2" s="311"/>
      <c r="H2" s="311"/>
      <c r="I2" s="311"/>
      <c r="J2" s="311"/>
      <c r="K2" s="311"/>
      <c r="L2" s="311"/>
      <c r="M2" s="113" t="s">
        <v>436</v>
      </c>
      <c r="N2" s="347" t="str">
        <f>封面!L2</f>
        <v>A/1</v>
      </c>
      <c r="O2" s="347"/>
      <c r="P2" s="347"/>
      <c r="Q2" s="347"/>
      <c r="R2" s="347"/>
      <c r="S2" s="347"/>
    </row>
    <row r="3" spans="1:19" s="105" customFormat="1" ht="25" customHeight="1">
      <c r="A3" s="309"/>
      <c r="B3" s="309"/>
      <c r="C3" s="309"/>
      <c r="D3" s="309"/>
      <c r="E3" s="311"/>
      <c r="F3" s="311"/>
      <c r="G3" s="311"/>
      <c r="H3" s="311"/>
      <c r="I3" s="311"/>
      <c r="J3" s="311"/>
      <c r="K3" s="311"/>
      <c r="L3" s="311"/>
      <c r="M3" s="114" t="s">
        <v>605</v>
      </c>
      <c r="N3" s="265" t="s">
        <v>595</v>
      </c>
      <c r="O3" s="265"/>
      <c r="P3" s="265"/>
      <c r="Q3" s="265"/>
      <c r="R3" s="265"/>
      <c r="S3" s="265"/>
    </row>
    <row r="4" spans="1:19" s="105" customFormat="1" ht="36" customHeight="1">
      <c r="A4" s="315" t="s">
        <v>585</v>
      </c>
      <c r="B4" s="315" t="s">
        <v>606</v>
      </c>
      <c r="C4" s="315" t="s">
        <v>607</v>
      </c>
      <c r="D4" s="315" t="s">
        <v>608</v>
      </c>
      <c r="E4" s="315" t="s">
        <v>444</v>
      </c>
      <c r="F4" s="167" t="s">
        <v>599</v>
      </c>
      <c r="G4" s="315" t="s">
        <v>602</v>
      </c>
      <c r="H4" s="167" t="s">
        <v>447</v>
      </c>
      <c r="I4" s="315" t="s">
        <v>448</v>
      </c>
      <c r="J4" s="315"/>
      <c r="K4" s="167" t="s">
        <v>600</v>
      </c>
      <c r="L4" s="167" t="s">
        <v>601</v>
      </c>
      <c r="M4" s="315" t="s">
        <v>603</v>
      </c>
      <c r="N4" s="315" t="s">
        <v>452</v>
      </c>
      <c r="O4" s="315" t="s">
        <v>453</v>
      </c>
      <c r="P4" s="315"/>
      <c r="Q4" s="315"/>
      <c r="R4" s="315"/>
      <c r="S4" s="315"/>
    </row>
    <row r="5" spans="1:19" s="105" customFormat="1" ht="23">
      <c r="A5" s="315"/>
      <c r="B5" s="315"/>
      <c r="C5" s="315"/>
      <c r="D5" s="315"/>
      <c r="E5" s="315"/>
      <c r="F5" s="167" t="s">
        <v>439</v>
      </c>
      <c r="G5" s="315"/>
      <c r="H5" s="167" t="s">
        <v>440</v>
      </c>
      <c r="I5" s="167" t="s">
        <v>609</v>
      </c>
      <c r="J5" s="167" t="s">
        <v>610</v>
      </c>
      <c r="K5" s="167" t="s">
        <v>231</v>
      </c>
      <c r="L5" s="167" t="s">
        <v>232</v>
      </c>
      <c r="M5" s="315"/>
      <c r="N5" s="315"/>
      <c r="O5" s="165" t="s">
        <v>454</v>
      </c>
      <c r="P5" s="167" t="s">
        <v>227</v>
      </c>
      <c r="Q5" s="167" t="s">
        <v>441</v>
      </c>
      <c r="R5" s="167" t="s">
        <v>231</v>
      </c>
      <c r="S5" s="167" t="s">
        <v>442</v>
      </c>
    </row>
    <row r="6" spans="1:19" s="105" customFormat="1" ht="249.75" customHeight="1">
      <c r="A6" s="168" t="s">
        <v>319</v>
      </c>
      <c r="B6" s="142" t="s">
        <v>564</v>
      </c>
      <c r="C6" s="141" t="s">
        <v>455</v>
      </c>
      <c r="D6" s="141" t="s">
        <v>456</v>
      </c>
      <c r="E6" s="141" t="s">
        <v>457</v>
      </c>
      <c r="F6" s="142">
        <v>3</v>
      </c>
      <c r="G6" s="141" t="s">
        <v>458</v>
      </c>
      <c r="H6" s="142">
        <v>3</v>
      </c>
      <c r="I6" s="141" t="s">
        <v>459</v>
      </c>
      <c r="J6" s="141" t="s">
        <v>460</v>
      </c>
      <c r="K6" s="142">
        <v>4</v>
      </c>
      <c r="L6" s="142">
        <v>24</v>
      </c>
      <c r="M6" s="169" t="s">
        <v>461</v>
      </c>
      <c r="N6" s="141" t="s">
        <v>502</v>
      </c>
      <c r="O6" s="169" t="s">
        <v>663</v>
      </c>
      <c r="P6" s="169">
        <v>3</v>
      </c>
      <c r="Q6" s="169">
        <v>1</v>
      </c>
      <c r="R6" s="169">
        <v>4</v>
      </c>
      <c r="S6" s="169">
        <v>12</v>
      </c>
    </row>
    <row r="7" spans="1:19" s="109" customFormat="1" ht="224.25" customHeight="1">
      <c r="A7" s="170" t="s">
        <v>320</v>
      </c>
      <c r="B7" s="169" t="s">
        <v>565</v>
      </c>
      <c r="C7" s="169" t="s">
        <v>611</v>
      </c>
      <c r="D7" s="171" t="s">
        <v>462</v>
      </c>
      <c r="E7" s="172" t="s">
        <v>463</v>
      </c>
      <c r="F7" s="173">
        <v>3</v>
      </c>
      <c r="G7" s="172" t="s">
        <v>464</v>
      </c>
      <c r="H7" s="173">
        <v>2</v>
      </c>
      <c r="I7" s="172" t="s">
        <v>465</v>
      </c>
      <c r="J7" s="172" t="s">
        <v>466</v>
      </c>
      <c r="K7" s="174">
        <v>2</v>
      </c>
      <c r="L7" s="175">
        <v>12</v>
      </c>
      <c r="M7" s="169" t="s">
        <v>479</v>
      </c>
      <c r="N7" s="181" t="s">
        <v>662</v>
      </c>
      <c r="O7" s="181" t="s">
        <v>662</v>
      </c>
      <c r="P7" s="181" t="s">
        <v>662</v>
      </c>
      <c r="Q7" s="181" t="s">
        <v>662</v>
      </c>
      <c r="R7" s="181" t="s">
        <v>662</v>
      </c>
      <c r="S7" s="181" t="s">
        <v>662</v>
      </c>
    </row>
    <row r="8" spans="1:19" s="105" customFormat="1" ht="25" customHeight="1">
      <c r="A8" s="309"/>
      <c r="B8" s="309"/>
      <c r="C8" s="309"/>
      <c r="D8" s="309"/>
      <c r="E8" s="310" t="s">
        <v>612</v>
      </c>
      <c r="F8" s="311"/>
      <c r="G8" s="311"/>
      <c r="H8" s="311"/>
      <c r="I8" s="311"/>
      <c r="J8" s="311"/>
      <c r="K8" s="311"/>
      <c r="L8" s="311"/>
      <c r="M8" s="113" t="s">
        <v>437</v>
      </c>
      <c r="N8" s="312" t="str">
        <f>封面!$L$1</f>
        <v>TM-0001083</v>
      </c>
      <c r="O8" s="313"/>
      <c r="P8" s="313"/>
      <c r="Q8" s="313"/>
      <c r="R8" s="313"/>
      <c r="S8" s="314"/>
    </row>
    <row r="9" spans="1:19" s="105" customFormat="1" ht="25" customHeight="1">
      <c r="A9" s="309"/>
      <c r="B9" s="309"/>
      <c r="C9" s="309"/>
      <c r="D9" s="309"/>
      <c r="E9" s="311"/>
      <c r="F9" s="311"/>
      <c r="G9" s="311"/>
      <c r="H9" s="311"/>
      <c r="I9" s="311"/>
      <c r="J9" s="311"/>
      <c r="K9" s="311"/>
      <c r="L9" s="311"/>
      <c r="M9" s="113" t="s">
        <v>436</v>
      </c>
      <c r="N9" s="347" t="str">
        <f>封面!$L$2</f>
        <v>A/1</v>
      </c>
      <c r="O9" s="347"/>
      <c r="P9" s="347"/>
      <c r="Q9" s="347"/>
      <c r="R9" s="347"/>
      <c r="S9" s="347"/>
    </row>
    <row r="10" spans="1:19" s="105" customFormat="1" ht="25" customHeight="1">
      <c r="A10" s="309"/>
      <c r="B10" s="309"/>
      <c r="C10" s="309"/>
      <c r="D10" s="309"/>
      <c r="E10" s="311"/>
      <c r="F10" s="311"/>
      <c r="G10" s="311"/>
      <c r="H10" s="311"/>
      <c r="I10" s="311"/>
      <c r="J10" s="311"/>
      <c r="K10" s="311"/>
      <c r="L10" s="311"/>
      <c r="M10" s="114" t="s">
        <v>613</v>
      </c>
      <c r="N10" s="265" t="s">
        <v>594</v>
      </c>
      <c r="O10" s="265"/>
      <c r="P10" s="265"/>
      <c r="Q10" s="265"/>
      <c r="R10" s="265"/>
      <c r="S10" s="265"/>
    </row>
    <row r="11" spans="1:19" s="105" customFormat="1" ht="30.75" customHeight="1">
      <c r="A11" s="315" t="s">
        <v>443</v>
      </c>
      <c r="B11" s="315" t="s">
        <v>606</v>
      </c>
      <c r="C11" s="315" t="s">
        <v>607</v>
      </c>
      <c r="D11" s="315" t="s">
        <v>608</v>
      </c>
      <c r="E11" s="315" t="s">
        <v>444</v>
      </c>
      <c r="F11" s="167" t="s">
        <v>445</v>
      </c>
      <c r="G11" s="315" t="s">
        <v>446</v>
      </c>
      <c r="H11" s="167" t="s">
        <v>447</v>
      </c>
      <c r="I11" s="315" t="s">
        <v>448</v>
      </c>
      <c r="J11" s="315"/>
      <c r="K11" s="167" t="s">
        <v>449</v>
      </c>
      <c r="L11" s="167" t="s">
        <v>450</v>
      </c>
      <c r="M11" s="315" t="s">
        <v>451</v>
      </c>
      <c r="N11" s="315" t="s">
        <v>452</v>
      </c>
      <c r="O11" s="315" t="s">
        <v>453</v>
      </c>
      <c r="P11" s="315"/>
      <c r="Q11" s="315"/>
      <c r="R11" s="315"/>
      <c r="S11" s="315"/>
    </row>
    <row r="12" spans="1:19" s="105" customFormat="1" ht="23">
      <c r="A12" s="315"/>
      <c r="B12" s="315"/>
      <c r="C12" s="315"/>
      <c r="D12" s="315"/>
      <c r="E12" s="315"/>
      <c r="F12" s="167" t="s">
        <v>439</v>
      </c>
      <c r="G12" s="315"/>
      <c r="H12" s="167" t="s">
        <v>440</v>
      </c>
      <c r="I12" s="167" t="s">
        <v>609</v>
      </c>
      <c r="J12" s="167" t="s">
        <v>610</v>
      </c>
      <c r="K12" s="167" t="s">
        <v>231</v>
      </c>
      <c r="L12" s="167" t="s">
        <v>232</v>
      </c>
      <c r="M12" s="315"/>
      <c r="N12" s="315"/>
      <c r="O12" s="165" t="s">
        <v>454</v>
      </c>
      <c r="P12" s="167" t="s">
        <v>227</v>
      </c>
      <c r="Q12" s="167" t="s">
        <v>441</v>
      </c>
      <c r="R12" s="167" t="s">
        <v>231</v>
      </c>
      <c r="S12" s="167" t="s">
        <v>442</v>
      </c>
    </row>
    <row r="13" spans="1:19" s="105" customFormat="1" ht="228" customHeight="1">
      <c r="A13" s="340" t="s">
        <v>321</v>
      </c>
      <c r="B13" s="325" t="s">
        <v>566</v>
      </c>
      <c r="C13" s="330" t="s">
        <v>467</v>
      </c>
      <c r="D13" s="172" t="s">
        <v>468</v>
      </c>
      <c r="E13" s="348" t="s">
        <v>470</v>
      </c>
      <c r="F13" s="173">
        <v>3</v>
      </c>
      <c r="G13" s="172" t="s">
        <v>471</v>
      </c>
      <c r="H13" s="349">
        <v>2</v>
      </c>
      <c r="I13" s="172" t="s">
        <v>473</v>
      </c>
      <c r="J13" s="172" t="s">
        <v>474</v>
      </c>
      <c r="K13" s="174">
        <v>2</v>
      </c>
      <c r="L13" s="175">
        <v>12</v>
      </c>
      <c r="M13" s="169" t="s">
        <v>475</v>
      </c>
      <c r="N13" s="141" t="s">
        <v>502</v>
      </c>
      <c r="O13" s="169" t="s">
        <v>663</v>
      </c>
      <c r="P13" s="181">
        <v>3</v>
      </c>
      <c r="Q13" s="181">
        <v>1</v>
      </c>
      <c r="R13" s="181">
        <v>2</v>
      </c>
      <c r="S13" s="181">
        <v>6</v>
      </c>
    </row>
    <row r="14" spans="1:19" s="105" customFormat="1" ht="81" customHeight="1">
      <c r="A14" s="340"/>
      <c r="B14" s="325"/>
      <c r="C14" s="330"/>
      <c r="D14" s="172" t="s">
        <v>469</v>
      </c>
      <c r="E14" s="348"/>
      <c r="F14" s="173">
        <v>2</v>
      </c>
      <c r="G14" s="172" t="s">
        <v>472</v>
      </c>
      <c r="H14" s="349"/>
      <c r="I14" s="172" t="s">
        <v>476</v>
      </c>
      <c r="J14" s="172" t="s">
        <v>477</v>
      </c>
      <c r="K14" s="174">
        <v>2</v>
      </c>
      <c r="L14" s="175">
        <v>8</v>
      </c>
      <c r="M14" s="169" t="s">
        <v>479</v>
      </c>
      <c r="N14" s="181" t="s">
        <v>662</v>
      </c>
      <c r="O14" s="181" t="s">
        <v>662</v>
      </c>
      <c r="P14" s="181" t="s">
        <v>662</v>
      </c>
      <c r="Q14" s="181" t="s">
        <v>662</v>
      </c>
      <c r="R14" s="181" t="s">
        <v>662</v>
      </c>
      <c r="S14" s="181" t="s">
        <v>662</v>
      </c>
    </row>
    <row r="15" spans="1:19" s="105" customFormat="1" ht="127.5" customHeight="1">
      <c r="A15" s="340"/>
      <c r="B15" s="325"/>
      <c r="C15" s="169" t="s">
        <v>480</v>
      </c>
      <c r="D15" s="172" t="s">
        <v>481</v>
      </c>
      <c r="E15" s="172" t="s">
        <v>482</v>
      </c>
      <c r="F15" s="173">
        <v>2</v>
      </c>
      <c r="G15" s="172" t="s">
        <v>483</v>
      </c>
      <c r="H15" s="173">
        <v>1</v>
      </c>
      <c r="I15" s="172" t="s">
        <v>484</v>
      </c>
      <c r="J15" s="172" t="s">
        <v>485</v>
      </c>
      <c r="K15" s="174">
        <v>2</v>
      </c>
      <c r="L15" s="175">
        <v>4</v>
      </c>
      <c r="M15" s="169" t="s">
        <v>478</v>
      </c>
      <c r="N15" s="181" t="s">
        <v>662</v>
      </c>
      <c r="O15" s="181" t="s">
        <v>662</v>
      </c>
      <c r="P15" s="181" t="s">
        <v>662</v>
      </c>
      <c r="Q15" s="181" t="s">
        <v>662</v>
      </c>
      <c r="R15" s="181" t="s">
        <v>662</v>
      </c>
      <c r="S15" s="181" t="s">
        <v>662</v>
      </c>
    </row>
    <row r="16" spans="1:19" s="105" customFormat="1" ht="25" customHeight="1">
      <c r="A16" s="309"/>
      <c r="B16" s="309"/>
      <c r="C16" s="309"/>
      <c r="D16" s="309"/>
      <c r="E16" s="310" t="s">
        <v>614</v>
      </c>
      <c r="F16" s="311"/>
      <c r="G16" s="311"/>
      <c r="H16" s="311"/>
      <c r="I16" s="311"/>
      <c r="J16" s="311"/>
      <c r="K16" s="311"/>
      <c r="L16" s="311"/>
      <c r="M16" s="113" t="s">
        <v>437</v>
      </c>
      <c r="N16" s="312" t="str">
        <f>封面!$L$1</f>
        <v>TM-0001083</v>
      </c>
      <c r="O16" s="313"/>
      <c r="P16" s="313"/>
      <c r="Q16" s="313"/>
      <c r="R16" s="313"/>
      <c r="S16" s="314"/>
    </row>
    <row r="17" spans="1:19" s="105" customFormat="1" ht="25" customHeight="1">
      <c r="A17" s="309"/>
      <c r="B17" s="309"/>
      <c r="C17" s="309"/>
      <c r="D17" s="309"/>
      <c r="E17" s="311"/>
      <c r="F17" s="311"/>
      <c r="G17" s="311"/>
      <c r="H17" s="311"/>
      <c r="I17" s="311"/>
      <c r="J17" s="311"/>
      <c r="K17" s="311"/>
      <c r="L17" s="311"/>
      <c r="M17" s="113" t="s">
        <v>436</v>
      </c>
      <c r="N17" s="347" t="str">
        <f>封面!$L$2</f>
        <v>A/1</v>
      </c>
      <c r="O17" s="347"/>
      <c r="P17" s="347"/>
      <c r="Q17" s="347"/>
      <c r="R17" s="347"/>
      <c r="S17" s="347"/>
    </row>
    <row r="18" spans="1:19" s="105" customFormat="1" ht="25" customHeight="1">
      <c r="A18" s="309"/>
      <c r="B18" s="309"/>
      <c r="C18" s="309"/>
      <c r="D18" s="309"/>
      <c r="E18" s="311"/>
      <c r="F18" s="311"/>
      <c r="G18" s="311"/>
      <c r="H18" s="311"/>
      <c r="I18" s="311"/>
      <c r="J18" s="311"/>
      <c r="K18" s="311"/>
      <c r="L18" s="311"/>
      <c r="M18" s="114" t="s">
        <v>615</v>
      </c>
      <c r="N18" s="265" t="s">
        <v>593</v>
      </c>
      <c r="O18" s="265"/>
      <c r="P18" s="265"/>
      <c r="Q18" s="265"/>
      <c r="R18" s="265"/>
      <c r="S18" s="265"/>
    </row>
    <row r="19" spans="1:19" s="105" customFormat="1" ht="33.75" customHeight="1">
      <c r="A19" s="315" t="s">
        <v>443</v>
      </c>
      <c r="B19" s="315" t="s">
        <v>606</v>
      </c>
      <c r="C19" s="315" t="s">
        <v>607</v>
      </c>
      <c r="D19" s="315" t="s">
        <v>608</v>
      </c>
      <c r="E19" s="315" t="s">
        <v>444</v>
      </c>
      <c r="F19" s="167" t="s">
        <v>445</v>
      </c>
      <c r="G19" s="315" t="s">
        <v>446</v>
      </c>
      <c r="H19" s="167" t="s">
        <v>447</v>
      </c>
      <c r="I19" s="315" t="s">
        <v>448</v>
      </c>
      <c r="J19" s="315"/>
      <c r="K19" s="167" t="s">
        <v>449</v>
      </c>
      <c r="L19" s="167" t="s">
        <v>450</v>
      </c>
      <c r="M19" s="315" t="s">
        <v>451</v>
      </c>
      <c r="N19" s="315" t="s">
        <v>452</v>
      </c>
      <c r="O19" s="315" t="s">
        <v>453</v>
      </c>
      <c r="P19" s="315"/>
      <c r="Q19" s="315"/>
      <c r="R19" s="315"/>
      <c r="S19" s="315"/>
    </row>
    <row r="20" spans="1:19" s="105" customFormat="1" ht="23">
      <c r="A20" s="315"/>
      <c r="B20" s="315"/>
      <c r="C20" s="315"/>
      <c r="D20" s="315"/>
      <c r="E20" s="315"/>
      <c r="F20" s="167" t="s">
        <v>242</v>
      </c>
      <c r="G20" s="315"/>
      <c r="H20" s="167" t="s">
        <v>254</v>
      </c>
      <c r="I20" s="167" t="s">
        <v>609</v>
      </c>
      <c r="J20" s="167" t="s">
        <v>616</v>
      </c>
      <c r="K20" s="167" t="s">
        <v>231</v>
      </c>
      <c r="L20" s="167" t="s">
        <v>232</v>
      </c>
      <c r="M20" s="315"/>
      <c r="N20" s="315"/>
      <c r="O20" s="165" t="s">
        <v>454</v>
      </c>
      <c r="P20" s="167" t="s">
        <v>227</v>
      </c>
      <c r="Q20" s="167" t="s">
        <v>254</v>
      </c>
      <c r="R20" s="167" t="s">
        <v>231</v>
      </c>
      <c r="S20" s="167" t="s">
        <v>232</v>
      </c>
    </row>
    <row r="21" spans="1:19" s="109" customFormat="1" ht="79.5" customHeight="1">
      <c r="A21" s="340" t="s">
        <v>322</v>
      </c>
      <c r="B21" s="330" t="s">
        <v>567</v>
      </c>
      <c r="C21" s="330" t="s">
        <v>486</v>
      </c>
      <c r="D21" s="172" t="s">
        <v>487</v>
      </c>
      <c r="E21" s="172" t="s">
        <v>488</v>
      </c>
      <c r="F21" s="173">
        <v>3</v>
      </c>
      <c r="G21" s="172" t="s">
        <v>489</v>
      </c>
      <c r="H21" s="173">
        <v>2</v>
      </c>
      <c r="I21" s="172" t="s">
        <v>490</v>
      </c>
      <c r="J21" s="172" t="s">
        <v>491</v>
      </c>
      <c r="K21" s="174">
        <v>2</v>
      </c>
      <c r="L21" s="175">
        <v>12</v>
      </c>
      <c r="M21" s="169" t="s">
        <v>479</v>
      </c>
      <c r="N21" s="181" t="s">
        <v>662</v>
      </c>
      <c r="O21" s="181" t="s">
        <v>662</v>
      </c>
      <c r="P21" s="181" t="s">
        <v>662</v>
      </c>
      <c r="Q21" s="181" t="s">
        <v>662</v>
      </c>
      <c r="R21" s="181" t="s">
        <v>662</v>
      </c>
      <c r="S21" s="181" t="s">
        <v>662</v>
      </c>
    </row>
    <row r="22" spans="1:19" s="109" customFormat="1" ht="279" customHeight="1">
      <c r="A22" s="340"/>
      <c r="B22" s="330"/>
      <c r="C22" s="330"/>
      <c r="D22" s="172" t="s">
        <v>568</v>
      </c>
      <c r="E22" s="172" t="s">
        <v>492</v>
      </c>
      <c r="F22" s="173">
        <v>4</v>
      </c>
      <c r="G22" s="172" t="s">
        <v>493</v>
      </c>
      <c r="H22" s="173">
        <v>2</v>
      </c>
      <c r="I22" s="172" t="s">
        <v>494</v>
      </c>
      <c r="J22" s="172" t="s">
        <v>495</v>
      </c>
      <c r="K22" s="174">
        <v>2</v>
      </c>
      <c r="L22" s="175">
        <v>8</v>
      </c>
      <c r="M22" s="169" t="s">
        <v>478</v>
      </c>
      <c r="N22" s="181" t="s">
        <v>662</v>
      </c>
      <c r="O22" s="181" t="s">
        <v>662</v>
      </c>
      <c r="P22" s="181" t="s">
        <v>662</v>
      </c>
      <c r="Q22" s="181" t="s">
        <v>662</v>
      </c>
      <c r="R22" s="181" t="s">
        <v>662</v>
      </c>
      <c r="S22" s="181" t="s">
        <v>662</v>
      </c>
    </row>
    <row r="23" spans="1:19" s="105" customFormat="1" ht="25" customHeight="1">
      <c r="A23" s="309"/>
      <c r="B23" s="309"/>
      <c r="C23" s="309"/>
      <c r="D23" s="309"/>
      <c r="E23" s="310" t="s">
        <v>614</v>
      </c>
      <c r="F23" s="311"/>
      <c r="G23" s="311"/>
      <c r="H23" s="311"/>
      <c r="I23" s="311"/>
      <c r="J23" s="311"/>
      <c r="K23" s="311"/>
      <c r="L23" s="311"/>
      <c r="M23" s="113" t="s">
        <v>437</v>
      </c>
      <c r="N23" s="312" t="str">
        <f>封面!$L$1</f>
        <v>TM-0001083</v>
      </c>
      <c r="O23" s="313"/>
      <c r="P23" s="313"/>
      <c r="Q23" s="313"/>
      <c r="R23" s="313"/>
      <c r="S23" s="314"/>
    </row>
    <row r="24" spans="1:19" s="105" customFormat="1" ht="25" customHeight="1">
      <c r="A24" s="309"/>
      <c r="B24" s="309"/>
      <c r="C24" s="309"/>
      <c r="D24" s="309"/>
      <c r="E24" s="311"/>
      <c r="F24" s="311"/>
      <c r="G24" s="311"/>
      <c r="H24" s="311"/>
      <c r="I24" s="311"/>
      <c r="J24" s="311"/>
      <c r="K24" s="311"/>
      <c r="L24" s="311"/>
      <c r="M24" s="113" t="s">
        <v>436</v>
      </c>
      <c r="N24" s="312" t="str">
        <f>封面!$L$2</f>
        <v>A/1</v>
      </c>
      <c r="O24" s="313"/>
      <c r="P24" s="313"/>
      <c r="Q24" s="313"/>
      <c r="R24" s="313"/>
      <c r="S24" s="314"/>
    </row>
    <row r="25" spans="1:19" s="105" customFormat="1" ht="25" customHeight="1">
      <c r="A25" s="309"/>
      <c r="B25" s="309"/>
      <c r="C25" s="309"/>
      <c r="D25" s="309"/>
      <c r="E25" s="311"/>
      <c r="F25" s="311"/>
      <c r="G25" s="311"/>
      <c r="H25" s="311"/>
      <c r="I25" s="311"/>
      <c r="J25" s="311"/>
      <c r="K25" s="311"/>
      <c r="L25" s="311"/>
      <c r="M25" s="114" t="s">
        <v>615</v>
      </c>
      <c r="N25" s="265" t="s">
        <v>592</v>
      </c>
      <c r="O25" s="265"/>
      <c r="P25" s="265"/>
      <c r="Q25" s="265"/>
      <c r="R25" s="265"/>
      <c r="S25" s="265"/>
    </row>
    <row r="26" spans="1:19" s="105" customFormat="1" ht="33.75" customHeight="1">
      <c r="A26" s="315" t="s">
        <v>443</v>
      </c>
      <c r="B26" s="315" t="s">
        <v>606</v>
      </c>
      <c r="C26" s="315" t="s">
        <v>607</v>
      </c>
      <c r="D26" s="315" t="s">
        <v>608</v>
      </c>
      <c r="E26" s="315" t="s">
        <v>444</v>
      </c>
      <c r="F26" s="167" t="s">
        <v>445</v>
      </c>
      <c r="G26" s="315" t="s">
        <v>446</v>
      </c>
      <c r="H26" s="167" t="s">
        <v>447</v>
      </c>
      <c r="I26" s="315" t="s">
        <v>448</v>
      </c>
      <c r="J26" s="315"/>
      <c r="K26" s="167" t="s">
        <v>449</v>
      </c>
      <c r="L26" s="167" t="s">
        <v>450</v>
      </c>
      <c r="M26" s="315" t="s">
        <v>451</v>
      </c>
      <c r="N26" s="315" t="s">
        <v>452</v>
      </c>
      <c r="O26" s="315" t="s">
        <v>453</v>
      </c>
      <c r="P26" s="315"/>
      <c r="Q26" s="315"/>
      <c r="R26" s="315"/>
      <c r="S26" s="315"/>
    </row>
    <row r="27" spans="1:19" s="105" customFormat="1" ht="23">
      <c r="A27" s="315"/>
      <c r="B27" s="315"/>
      <c r="C27" s="315"/>
      <c r="D27" s="315"/>
      <c r="E27" s="315"/>
      <c r="F27" s="167" t="s">
        <v>242</v>
      </c>
      <c r="G27" s="315"/>
      <c r="H27" s="167" t="s">
        <v>254</v>
      </c>
      <c r="I27" s="167" t="s">
        <v>609</v>
      </c>
      <c r="J27" s="167" t="s">
        <v>610</v>
      </c>
      <c r="K27" s="167" t="s">
        <v>231</v>
      </c>
      <c r="L27" s="167" t="s">
        <v>232</v>
      </c>
      <c r="M27" s="315"/>
      <c r="N27" s="315"/>
      <c r="O27" s="165" t="s">
        <v>454</v>
      </c>
      <c r="P27" s="167" t="s">
        <v>227</v>
      </c>
      <c r="Q27" s="167" t="s">
        <v>254</v>
      </c>
      <c r="R27" s="167" t="s">
        <v>231</v>
      </c>
      <c r="S27" s="167" t="s">
        <v>232</v>
      </c>
    </row>
    <row r="28" spans="1:19" s="105" customFormat="1" ht="272" customHeight="1">
      <c r="A28" s="176" t="s">
        <v>323</v>
      </c>
      <c r="B28" s="169" t="s">
        <v>569</v>
      </c>
      <c r="C28" s="169" t="s">
        <v>617</v>
      </c>
      <c r="D28" s="169" t="s">
        <v>496</v>
      </c>
      <c r="E28" s="169" t="s">
        <v>497</v>
      </c>
      <c r="F28" s="175">
        <v>3</v>
      </c>
      <c r="G28" s="172" t="s">
        <v>498</v>
      </c>
      <c r="H28" s="175">
        <v>2</v>
      </c>
      <c r="I28" s="169" t="s">
        <v>499</v>
      </c>
      <c r="J28" s="169" t="s">
        <v>500</v>
      </c>
      <c r="K28" s="175">
        <v>4</v>
      </c>
      <c r="L28" s="175">
        <v>24</v>
      </c>
      <c r="M28" s="169" t="s">
        <v>501</v>
      </c>
      <c r="N28" s="141" t="s">
        <v>545</v>
      </c>
      <c r="O28" s="169" t="s">
        <v>663</v>
      </c>
      <c r="P28" s="181">
        <v>3</v>
      </c>
      <c r="Q28" s="181">
        <v>1</v>
      </c>
      <c r="R28" s="181">
        <v>4</v>
      </c>
      <c r="S28" s="181">
        <v>12</v>
      </c>
    </row>
    <row r="29" spans="1:19" s="130" customFormat="1" ht="100.5" customHeight="1">
      <c r="A29" s="342" t="s">
        <v>324</v>
      </c>
      <c r="B29" s="334" t="s">
        <v>570</v>
      </c>
      <c r="C29" s="336" t="s">
        <v>618</v>
      </c>
      <c r="D29" s="169" t="s">
        <v>504</v>
      </c>
      <c r="E29" s="169" t="s">
        <v>509</v>
      </c>
      <c r="F29" s="175">
        <v>3</v>
      </c>
      <c r="G29" s="169" t="s">
        <v>510</v>
      </c>
      <c r="H29" s="175">
        <v>2</v>
      </c>
      <c r="I29" s="169" t="s">
        <v>511</v>
      </c>
      <c r="J29" s="169" t="s">
        <v>512</v>
      </c>
      <c r="K29" s="175">
        <v>2</v>
      </c>
      <c r="L29" s="175">
        <v>12</v>
      </c>
      <c r="M29" s="169" t="s">
        <v>478</v>
      </c>
      <c r="N29" s="181" t="s">
        <v>662</v>
      </c>
      <c r="O29" s="181" t="s">
        <v>662</v>
      </c>
      <c r="P29" s="181" t="s">
        <v>662</v>
      </c>
      <c r="Q29" s="181" t="s">
        <v>662</v>
      </c>
      <c r="R29" s="181" t="s">
        <v>662</v>
      </c>
      <c r="S29" s="181" t="s">
        <v>662</v>
      </c>
    </row>
    <row r="30" spans="1:19" s="105" customFormat="1" ht="96.75" customHeight="1">
      <c r="A30" s="343"/>
      <c r="B30" s="345"/>
      <c r="C30" s="346"/>
      <c r="D30" s="169" t="s">
        <v>505</v>
      </c>
      <c r="E30" s="169" t="s">
        <v>508</v>
      </c>
      <c r="F30" s="175">
        <v>3</v>
      </c>
      <c r="G30" s="169" t="s">
        <v>513</v>
      </c>
      <c r="H30" s="175">
        <v>1</v>
      </c>
      <c r="I30" s="169" t="s">
        <v>515</v>
      </c>
      <c r="J30" s="169" t="s">
        <v>517</v>
      </c>
      <c r="K30" s="175">
        <v>2</v>
      </c>
      <c r="L30" s="175">
        <v>6</v>
      </c>
      <c r="M30" s="169" t="s">
        <v>479</v>
      </c>
      <c r="N30" s="181" t="s">
        <v>662</v>
      </c>
      <c r="O30" s="181" t="s">
        <v>662</v>
      </c>
      <c r="P30" s="181" t="s">
        <v>662</v>
      </c>
      <c r="Q30" s="181" t="s">
        <v>662</v>
      </c>
      <c r="R30" s="181" t="s">
        <v>662</v>
      </c>
      <c r="S30" s="181" t="s">
        <v>662</v>
      </c>
    </row>
    <row r="31" spans="1:19" s="105" customFormat="1" ht="64.5" customHeight="1">
      <c r="A31" s="344"/>
      <c r="B31" s="335"/>
      <c r="C31" s="337"/>
      <c r="D31" s="169" t="s">
        <v>506</v>
      </c>
      <c r="E31" s="169" t="s">
        <v>507</v>
      </c>
      <c r="F31" s="175">
        <v>2</v>
      </c>
      <c r="G31" s="169" t="s">
        <v>514</v>
      </c>
      <c r="H31" s="175">
        <v>2</v>
      </c>
      <c r="I31" s="169" t="s">
        <v>516</v>
      </c>
      <c r="J31" s="169" t="s">
        <v>519</v>
      </c>
      <c r="K31" s="175">
        <v>2</v>
      </c>
      <c r="L31" s="175">
        <v>8</v>
      </c>
      <c r="M31" s="169" t="s">
        <v>479</v>
      </c>
      <c r="N31" s="181" t="s">
        <v>662</v>
      </c>
      <c r="O31" s="181" t="s">
        <v>662</v>
      </c>
      <c r="P31" s="181" t="s">
        <v>662</v>
      </c>
      <c r="Q31" s="181" t="s">
        <v>662</v>
      </c>
      <c r="R31" s="181" t="s">
        <v>662</v>
      </c>
      <c r="S31" s="181" t="s">
        <v>662</v>
      </c>
    </row>
    <row r="32" spans="1:19" ht="23">
      <c r="A32" s="170" t="s">
        <v>325</v>
      </c>
      <c r="B32" s="169" t="s">
        <v>571</v>
      </c>
      <c r="C32" s="330" t="s">
        <v>203</v>
      </c>
      <c r="D32" s="330"/>
      <c r="E32" s="330"/>
      <c r="F32" s="330"/>
      <c r="G32" s="330"/>
      <c r="H32" s="330"/>
      <c r="I32" s="330"/>
      <c r="J32" s="330"/>
      <c r="K32" s="330"/>
      <c r="L32" s="330"/>
      <c r="M32" s="330"/>
      <c r="N32" s="330"/>
      <c r="O32" s="330"/>
      <c r="P32" s="330"/>
      <c r="Q32" s="330"/>
      <c r="R32" s="330"/>
      <c r="S32" s="330"/>
    </row>
    <row r="33" spans="1:19" ht="23">
      <c r="A33" s="170" t="s">
        <v>326</v>
      </c>
      <c r="B33" s="169" t="s">
        <v>572</v>
      </c>
      <c r="C33" s="330" t="s">
        <v>203</v>
      </c>
      <c r="D33" s="330"/>
      <c r="E33" s="330"/>
      <c r="F33" s="330"/>
      <c r="G33" s="330"/>
      <c r="H33" s="330"/>
      <c r="I33" s="330"/>
      <c r="J33" s="330"/>
      <c r="K33" s="330"/>
      <c r="L33" s="330"/>
      <c r="M33" s="330"/>
      <c r="N33" s="330"/>
      <c r="O33" s="330"/>
      <c r="P33" s="330"/>
      <c r="Q33" s="330"/>
      <c r="R33" s="330"/>
      <c r="S33" s="330"/>
    </row>
    <row r="34" spans="1:19" ht="27.75" customHeight="1">
      <c r="A34" s="309"/>
      <c r="B34" s="309"/>
      <c r="C34" s="309"/>
      <c r="D34" s="309"/>
      <c r="E34" s="310" t="s">
        <v>614</v>
      </c>
      <c r="F34" s="311"/>
      <c r="G34" s="311"/>
      <c r="H34" s="311"/>
      <c r="I34" s="311"/>
      <c r="J34" s="311"/>
      <c r="K34" s="311"/>
      <c r="L34" s="311"/>
      <c r="M34" s="113" t="s">
        <v>437</v>
      </c>
      <c r="N34" s="312" t="str">
        <f>封面!$L$1</f>
        <v>TM-0001083</v>
      </c>
      <c r="O34" s="313"/>
      <c r="P34" s="313"/>
      <c r="Q34" s="313"/>
      <c r="R34" s="313"/>
      <c r="S34" s="314"/>
    </row>
    <row r="35" spans="1:19" ht="29.25" customHeight="1">
      <c r="A35" s="309"/>
      <c r="B35" s="309"/>
      <c r="C35" s="309"/>
      <c r="D35" s="309"/>
      <c r="E35" s="311"/>
      <c r="F35" s="311"/>
      <c r="G35" s="311"/>
      <c r="H35" s="311"/>
      <c r="I35" s="311"/>
      <c r="J35" s="311"/>
      <c r="K35" s="311"/>
      <c r="L35" s="311"/>
      <c r="M35" s="113" t="s">
        <v>436</v>
      </c>
      <c r="N35" s="312" t="str">
        <f>封面!$L$2</f>
        <v>A/1</v>
      </c>
      <c r="O35" s="313"/>
      <c r="P35" s="313"/>
      <c r="Q35" s="313"/>
      <c r="R35" s="313"/>
      <c r="S35" s="314"/>
    </row>
    <row r="36" spans="1:19" ht="15.5">
      <c r="A36" s="309"/>
      <c r="B36" s="309"/>
      <c r="C36" s="309"/>
      <c r="D36" s="309"/>
      <c r="E36" s="311"/>
      <c r="F36" s="311"/>
      <c r="G36" s="311"/>
      <c r="H36" s="311"/>
      <c r="I36" s="311"/>
      <c r="J36" s="311"/>
      <c r="K36" s="311"/>
      <c r="L36" s="311"/>
      <c r="M36" s="114" t="s">
        <v>438</v>
      </c>
      <c r="N36" s="265" t="s">
        <v>591</v>
      </c>
      <c r="O36" s="265"/>
      <c r="P36" s="265"/>
      <c r="Q36" s="265"/>
      <c r="R36" s="265"/>
      <c r="S36" s="265"/>
    </row>
    <row r="37" spans="1:19" s="105" customFormat="1" ht="33.75" customHeight="1">
      <c r="A37" s="315" t="s">
        <v>443</v>
      </c>
      <c r="B37" s="315" t="s">
        <v>606</v>
      </c>
      <c r="C37" s="315" t="s">
        <v>607</v>
      </c>
      <c r="D37" s="315" t="s">
        <v>608</v>
      </c>
      <c r="E37" s="315" t="s">
        <v>444</v>
      </c>
      <c r="F37" s="167" t="s">
        <v>445</v>
      </c>
      <c r="G37" s="315" t="s">
        <v>446</v>
      </c>
      <c r="H37" s="167" t="s">
        <v>447</v>
      </c>
      <c r="I37" s="315" t="s">
        <v>448</v>
      </c>
      <c r="J37" s="315"/>
      <c r="K37" s="167" t="s">
        <v>449</v>
      </c>
      <c r="L37" s="167" t="s">
        <v>450</v>
      </c>
      <c r="M37" s="315" t="s">
        <v>451</v>
      </c>
      <c r="N37" s="315" t="s">
        <v>452</v>
      </c>
      <c r="O37" s="315" t="s">
        <v>453</v>
      </c>
      <c r="P37" s="315"/>
      <c r="Q37" s="315"/>
      <c r="R37" s="315"/>
      <c r="S37" s="315"/>
    </row>
    <row r="38" spans="1:19" s="105" customFormat="1" ht="23">
      <c r="A38" s="315"/>
      <c r="B38" s="315"/>
      <c r="C38" s="315"/>
      <c r="D38" s="315"/>
      <c r="E38" s="315"/>
      <c r="F38" s="167" t="s">
        <v>227</v>
      </c>
      <c r="G38" s="315"/>
      <c r="H38" s="167" t="s">
        <v>228</v>
      </c>
      <c r="I38" s="167" t="s">
        <v>609</v>
      </c>
      <c r="J38" s="167" t="s">
        <v>610</v>
      </c>
      <c r="K38" s="167" t="s">
        <v>231</v>
      </c>
      <c r="L38" s="167" t="s">
        <v>232</v>
      </c>
      <c r="M38" s="315"/>
      <c r="N38" s="315"/>
      <c r="O38" s="165" t="s">
        <v>454</v>
      </c>
      <c r="P38" s="167" t="s">
        <v>227</v>
      </c>
      <c r="Q38" s="167" t="s">
        <v>228</v>
      </c>
      <c r="R38" s="167" t="s">
        <v>231</v>
      </c>
      <c r="S38" s="167" t="s">
        <v>232</v>
      </c>
    </row>
    <row r="39" spans="1:19" s="197" customFormat="1" ht="116" customHeight="1">
      <c r="A39" s="303">
        <v>9</v>
      </c>
      <c r="B39" s="306" t="s">
        <v>700</v>
      </c>
      <c r="C39" s="306" t="s">
        <v>701</v>
      </c>
      <c r="D39" s="212" t="s">
        <v>716</v>
      </c>
      <c r="E39" s="300" t="s">
        <v>703</v>
      </c>
      <c r="F39" s="302">
        <v>2</v>
      </c>
      <c r="G39" s="341" t="s">
        <v>704</v>
      </c>
      <c r="H39" s="302">
        <v>1</v>
      </c>
      <c r="I39" s="300" t="s">
        <v>705</v>
      </c>
      <c r="J39" s="301" t="s">
        <v>709</v>
      </c>
      <c r="K39" s="302">
        <v>2</v>
      </c>
      <c r="L39" s="302">
        <v>4</v>
      </c>
      <c r="M39" s="302" t="s">
        <v>670</v>
      </c>
      <c r="N39" s="258"/>
      <c r="O39" s="196" t="s">
        <v>670</v>
      </c>
      <c r="P39" s="196" t="s">
        <v>670</v>
      </c>
      <c r="Q39" s="196" t="s">
        <v>670</v>
      </c>
      <c r="R39" s="196" t="s">
        <v>670</v>
      </c>
      <c r="S39" s="196" t="s">
        <v>670</v>
      </c>
    </row>
    <row r="40" spans="1:19" s="197" customFormat="1" ht="116" customHeight="1">
      <c r="A40" s="304"/>
      <c r="B40" s="307"/>
      <c r="C40" s="307"/>
      <c r="D40" s="213" t="s">
        <v>702</v>
      </c>
      <c r="E40" s="300"/>
      <c r="F40" s="302"/>
      <c r="G40" s="341"/>
      <c r="H40" s="302"/>
      <c r="I40" s="300"/>
      <c r="J40" s="301"/>
      <c r="K40" s="302"/>
      <c r="L40" s="302"/>
      <c r="M40" s="302"/>
      <c r="N40" s="300"/>
      <c r="O40" s="196" t="s">
        <v>670</v>
      </c>
      <c r="P40" s="196" t="s">
        <v>670</v>
      </c>
      <c r="Q40" s="196" t="s">
        <v>670</v>
      </c>
      <c r="R40" s="196" t="s">
        <v>670</v>
      </c>
      <c r="S40" s="196" t="s">
        <v>670</v>
      </c>
    </row>
    <row r="41" spans="1:19" s="197" customFormat="1" ht="151" customHeight="1">
      <c r="A41" s="304"/>
      <c r="B41" s="307"/>
      <c r="C41" s="307"/>
      <c r="D41" s="213" t="s">
        <v>706</v>
      </c>
      <c r="E41" s="200" t="s">
        <v>707</v>
      </c>
      <c r="F41" s="196">
        <v>3</v>
      </c>
      <c r="G41" s="199" t="s">
        <v>708</v>
      </c>
      <c r="H41" s="196">
        <v>1</v>
      </c>
      <c r="I41" s="200" t="s">
        <v>710</v>
      </c>
      <c r="J41" s="301"/>
      <c r="K41" s="201">
        <v>2</v>
      </c>
      <c r="L41" s="201">
        <v>6</v>
      </c>
      <c r="M41" s="198" t="s">
        <v>711</v>
      </c>
      <c r="N41" s="300"/>
      <c r="O41" s="196" t="s">
        <v>670</v>
      </c>
      <c r="P41" s="196">
        <v>3</v>
      </c>
      <c r="Q41" s="196">
        <v>1</v>
      </c>
      <c r="R41" s="196">
        <v>1</v>
      </c>
      <c r="S41" s="196">
        <v>3</v>
      </c>
    </row>
    <row r="42" spans="1:19" s="197" customFormat="1" ht="151" customHeight="1">
      <c r="A42" s="305"/>
      <c r="B42" s="308"/>
      <c r="C42" s="308"/>
      <c r="D42" s="200" t="s">
        <v>717</v>
      </c>
      <c r="E42" s="214" t="s">
        <v>718</v>
      </c>
      <c r="F42" s="190">
        <v>3</v>
      </c>
      <c r="G42" s="215" t="s">
        <v>712</v>
      </c>
      <c r="H42" s="190">
        <v>1</v>
      </c>
      <c r="I42" s="216" t="s">
        <v>719</v>
      </c>
      <c r="J42" s="217" t="s">
        <v>713</v>
      </c>
      <c r="K42" s="190">
        <v>2</v>
      </c>
      <c r="L42" s="190">
        <v>6</v>
      </c>
      <c r="M42" s="217" t="s">
        <v>714</v>
      </c>
      <c r="N42" s="218" t="s">
        <v>715</v>
      </c>
      <c r="O42" s="196" t="s">
        <v>670</v>
      </c>
      <c r="P42" s="196">
        <v>3</v>
      </c>
      <c r="Q42" s="196">
        <v>1</v>
      </c>
      <c r="R42" s="196">
        <v>1</v>
      </c>
      <c r="S42" s="196">
        <v>3</v>
      </c>
    </row>
    <row r="43" spans="1:19" ht="27.75" customHeight="1">
      <c r="A43" s="309"/>
      <c r="B43" s="309"/>
      <c r="C43" s="309"/>
      <c r="D43" s="309"/>
      <c r="E43" s="310" t="s">
        <v>604</v>
      </c>
      <c r="F43" s="311"/>
      <c r="G43" s="311"/>
      <c r="H43" s="311"/>
      <c r="I43" s="311"/>
      <c r="J43" s="311"/>
      <c r="K43" s="311"/>
      <c r="L43" s="311"/>
      <c r="M43" s="113" t="s">
        <v>437</v>
      </c>
      <c r="N43" s="312" t="str">
        <f>封面!$L$1</f>
        <v>TM-0001083</v>
      </c>
      <c r="O43" s="313"/>
      <c r="P43" s="313"/>
      <c r="Q43" s="313"/>
      <c r="R43" s="313"/>
      <c r="S43" s="314"/>
    </row>
    <row r="44" spans="1:19" ht="29.25" customHeight="1">
      <c r="A44" s="309"/>
      <c r="B44" s="309"/>
      <c r="C44" s="309"/>
      <c r="D44" s="309"/>
      <c r="E44" s="311"/>
      <c r="F44" s="311"/>
      <c r="G44" s="311"/>
      <c r="H44" s="311"/>
      <c r="I44" s="311"/>
      <c r="J44" s="311"/>
      <c r="K44" s="311"/>
      <c r="L44" s="311"/>
      <c r="M44" s="113" t="s">
        <v>436</v>
      </c>
      <c r="N44" s="312" t="str">
        <f>封面!$L$2</f>
        <v>A/1</v>
      </c>
      <c r="O44" s="313"/>
      <c r="P44" s="313"/>
      <c r="Q44" s="313"/>
      <c r="R44" s="313"/>
      <c r="S44" s="314"/>
    </row>
    <row r="45" spans="1:19" ht="15.5">
      <c r="A45" s="309"/>
      <c r="B45" s="309"/>
      <c r="C45" s="309"/>
      <c r="D45" s="309"/>
      <c r="E45" s="311"/>
      <c r="F45" s="311"/>
      <c r="G45" s="311"/>
      <c r="H45" s="311"/>
      <c r="I45" s="311"/>
      <c r="J45" s="311"/>
      <c r="K45" s="311"/>
      <c r="L45" s="311"/>
      <c r="M45" s="114" t="s">
        <v>438</v>
      </c>
      <c r="N45" s="331" t="s">
        <v>590</v>
      </c>
      <c r="O45" s="332"/>
      <c r="P45" s="332"/>
      <c r="Q45" s="332"/>
      <c r="R45" s="332"/>
      <c r="S45" s="333"/>
    </row>
    <row r="46" spans="1:19" s="105" customFormat="1" ht="33.75" customHeight="1">
      <c r="A46" s="315" t="s">
        <v>443</v>
      </c>
      <c r="B46" s="315" t="s">
        <v>606</v>
      </c>
      <c r="C46" s="315" t="s">
        <v>607</v>
      </c>
      <c r="D46" s="315" t="s">
        <v>608</v>
      </c>
      <c r="E46" s="315" t="s">
        <v>444</v>
      </c>
      <c r="F46" s="193" t="s">
        <v>445</v>
      </c>
      <c r="G46" s="315" t="s">
        <v>446</v>
      </c>
      <c r="H46" s="193" t="s">
        <v>447</v>
      </c>
      <c r="I46" s="315" t="s">
        <v>448</v>
      </c>
      <c r="J46" s="315"/>
      <c r="K46" s="193" t="s">
        <v>449</v>
      </c>
      <c r="L46" s="193" t="s">
        <v>450</v>
      </c>
      <c r="M46" s="315" t="s">
        <v>451</v>
      </c>
      <c r="N46" s="315" t="s">
        <v>452</v>
      </c>
      <c r="O46" s="315" t="s">
        <v>453</v>
      </c>
      <c r="P46" s="315"/>
      <c r="Q46" s="315"/>
      <c r="R46" s="315"/>
      <c r="S46" s="315"/>
    </row>
    <row r="47" spans="1:19" s="105" customFormat="1" ht="23">
      <c r="A47" s="315"/>
      <c r="B47" s="315"/>
      <c r="C47" s="315"/>
      <c r="D47" s="315"/>
      <c r="E47" s="315"/>
      <c r="F47" s="193" t="s">
        <v>227</v>
      </c>
      <c r="G47" s="315"/>
      <c r="H47" s="193" t="s">
        <v>228</v>
      </c>
      <c r="I47" s="193" t="s">
        <v>609</v>
      </c>
      <c r="J47" s="193" t="s">
        <v>610</v>
      </c>
      <c r="K47" s="193" t="s">
        <v>231</v>
      </c>
      <c r="L47" s="193" t="s">
        <v>232</v>
      </c>
      <c r="M47" s="315"/>
      <c r="N47" s="315"/>
      <c r="O47" s="165" t="s">
        <v>454</v>
      </c>
      <c r="P47" s="193" t="s">
        <v>227</v>
      </c>
      <c r="Q47" s="193" t="s">
        <v>228</v>
      </c>
      <c r="R47" s="193" t="s">
        <v>231</v>
      </c>
      <c r="S47" s="193" t="s">
        <v>232</v>
      </c>
    </row>
    <row r="48" spans="1:19" ht="92">
      <c r="A48" s="340" t="s">
        <v>677</v>
      </c>
      <c r="B48" s="330" t="s">
        <v>573</v>
      </c>
      <c r="C48" s="169" t="s">
        <v>520</v>
      </c>
      <c r="D48" s="169" t="s">
        <v>521</v>
      </c>
      <c r="E48" s="169" t="s">
        <v>522</v>
      </c>
      <c r="F48" s="175">
        <v>3</v>
      </c>
      <c r="G48" s="169" t="s">
        <v>523</v>
      </c>
      <c r="H48" s="175">
        <v>2</v>
      </c>
      <c r="I48" s="169" t="s">
        <v>524</v>
      </c>
      <c r="J48" s="169" t="s">
        <v>525</v>
      </c>
      <c r="K48" s="175">
        <v>1</v>
      </c>
      <c r="L48" s="175">
        <v>6</v>
      </c>
      <c r="M48" s="169" t="s">
        <v>479</v>
      </c>
      <c r="N48" s="181" t="s">
        <v>662</v>
      </c>
      <c r="O48" s="181" t="s">
        <v>662</v>
      </c>
      <c r="P48" s="181" t="s">
        <v>662</v>
      </c>
      <c r="Q48" s="181" t="s">
        <v>662</v>
      </c>
      <c r="R48" s="181" t="s">
        <v>662</v>
      </c>
      <c r="S48" s="181" t="s">
        <v>662</v>
      </c>
    </row>
    <row r="49" spans="1:19" ht="64" customHeight="1">
      <c r="A49" s="340"/>
      <c r="B49" s="330"/>
      <c r="C49" s="169" t="s">
        <v>526</v>
      </c>
      <c r="D49" s="330" t="s">
        <v>527</v>
      </c>
      <c r="E49" s="330" t="s">
        <v>528</v>
      </c>
      <c r="F49" s="325">
        <v>4</v>
      </c>
      <c r="G49" s="330" t="s">
        <v>529</v>
      </c>
      <c r="H49" s="325">
        <v>2</v>
      </c>
      <c r="I49" s="330" t="s">
        <v>619</v>
      </c>
      <c r="J49" s="330" t="s">
        <v>530</v>
      </c>
      <c r="K49" s="325">
        <v>4</v>
      </c>
      <c r="L49" s="325">
        <v>32</v>
      </c>
      <c r="M49" s="330" t="s">
        <v>531</v>
      </c>
      <c r="N49" s="330" t="s">
        <v>502</v>
      </c>
      <c r="O49" s="330" t="s">
        <v>663</v>
      </c>
      <c r="P49" s="330">
        <v>4</v>
      </c>
      <c r="Q49" s="330">
        <v>1</v>
      </c>
      <c r="R49" s="330">
        <v>4</v>
      </c>
      <c r="S49" s="330">
        <v>16</v>
      </c>
    </row>
    <row r="50" spans="1:19" s="105" customFormat="1" ht="64" customHeight="1">
      <c r="A50" s="340"/>
      <c r="B50" s="330"/>
      <c r="C50" s="169" t="s">
        <v>620</v>
      </c>
      <c r="D50" s="330"/>
      <c r="E50" s="330"/>
      <c r="F50" s="325"/>
      <c r="G50" s="330"/>
      <c r="H50" s="325"/>
      <c r="I50" s="330"/>
      <c r="J50" s="330"/>
      <c r="K50" s="325"/>
      <c r="L50" s="325"/>
      <c r="M50" s="330"/>
      <c r="N50" s="330"/>
      <c r="O50" s="330"/>
      <c r="P50" s="330"/>
      <c r="Q50" s="330"/>
      <c r="R50" s="330"/>
      <c r="S50" s="330"/>
    </row>
    <row r="51" spans="1:19" ht="51" customHeight="1">
      <c r="A51" s="338">
        <v>11</v>
      </c>
      <c r="B51" s="336" t="s">
        <v>575</v>
      </c>
      <c r="C51" s="336" t="s">
        <v>574</v>
      </c>
      <c r="D51" s="169" t="s">
        <v>532</v>
      </c>
      <c r="E51" s="169" t="s">
        <v>534</v>
      </c>
      <c r="F51" s="334">
        <v>3</v>
      </c>
      <c r="G51" s="336" t="s">
        <v>536</v>
      </c>
      <c r="H51" s="334">
        <v>2</v>
      </c>
      <c r="I51" s="336" t="s">
        <v>537</v>
      </c>
      <c r="J51" s="336" t="s">
        <v>538</v>
      </c>
      <c r="K51" s="334">
        <v>1</v>
      </c>
      <c r="L51" s="334">
        <v>6</v>
      </c>
      <c r="M51" s="336" t="s">
        <v>479</v>
      </c>
      <c r="N51" s="334" t="s">
        <v>662</v>
      </c>
      <c r="O51" s="334" t="s">
        <v>662</v>
      </c>
      <c r="P51" s="334" t="s">
        <v>662</v>
      </c>
      <c r="Q51" s="334" t="s">
        <v>662</v>
      </c>
      <c r="R51" s="334" t="s">
        <v>662</v>
      </c>
      <c r="S51" s="334" t="s">
        <v>662</v>
      </c>
    </row>
    <row r="52" spans="1:19" ht="27.75" customHeight="1">
      <c r="A52" s="339"/>
      <c r="B52" s="337"/>
      <c r="C52" s="337"/>
      <c r="D52" s="169" t="s">
        <v>533</v>
      </c>
      <c r="E52" s="169" t="s">
        <v>535</v>
      </c>
      <c r="F52" s="335"/>
      <c r="G52" s="337"/>
      <c r="H52" s="335"/>
      <c r="I52" s="337"/>
      <c r="J52" s="337"/>
      <c r="K52" s="335"/>
      <c r="L52" s="335"/>
      <c r="M52" s="337"/>
      <c r="N52" s="335"/>
      <c r="O52" s="335"/>
      <c r="P52" s="335"/>
      <c r="Q52" s="335"/>
      <c r="R52" s="335"/>
      <c r="S52" s="335"/>
    </row>
    <row r="53" spans="1:19" ht="29.25" customHeight="1">
      <c r="A53" s="177">
        <v>12</v>
      </c>
      <c r="B53" s="169" t="s">
        <v>576</v>
      </c>
      <c r="C53" s="330" t="s">
        <v>203</v>
      </c>
      <c r="D53" s="330"/>
      <c r="E53" s="330"/>
      <c r="F53" s="330"/>
      <c r="G53" s="330"/>
      <c r="H53" s="330"/>
      <c r="I53" s="330"/>
      <c r="J53" s="330"/>
      <c r="K53" s="330"/>
      <c r="L53" s="330"/>
      <c r="M53" s="330"/>
      <c r="N53" s="330"/>
      <c r="O53" s="330"/>
      <c r="P53" s="330"/>
      <c r="Q53" s="330"/>
      <c r="R53" s="330"/>
      <c r="S53" s="330"/>
    </row>
    <row r="54" spans="1:19" ht="115">
      <c r="A54" s="177">
        <v>13</v>
      </c>
      <c r="B54" s="169" t="s">
        <v>578</v>
      </c>
      <c r="C54" s="169" t="s">
        <v>539</v>
      </c>
      <c r="D54" s="169" t="s">
        <v>577</v>
      </c>
      <c r="E54" s="169" t="s">
        <v>540</v>
      </c>
      <c r="F54" s="175">
        <v>4</v>
      </c>
      <c r="G54" s="169" t="s">
        <v>541</v>
      </c>
      <c r="H54" s="175">
        <v>2</v>
      </c>
      <c r="I54" s="169" t="s">
        <v>542</v>
      </c>
      <c r="J54" s="169" t="s">
        <v>543</v>
      </c>
      <c r="K54" s="175">
        <v>4</v>
      </c>
      <c r="L54" s="175">
        <v>32</v>
      </c>
      <c r="M54" s="141" t="s">
        <v>544</v>
      </c>
      <c r="N54" s="141" t="s">
        <v>503</v>
      </c>
      <c r="O54" s="142" t="s">
        <v>667</v>
      </c>
      <c r="P54" s="142">
        <v>4</v>
      </c>
      <c r="Q54" s="142">
        <v>1</v>
      </c>
      <c r="R54" s="142">
        <v>4</v>
      </c>
      <c r="S54" s="142">
        <v>16</v>
      </c>
    </row>
    <row r="55" spans="1:19" s="105" customFormat="1" ht="34.5" customHeight="1">
      <c r="A55" s="177">
        <v>14</v>
      </c>
      <c r="B55" s="169" t="s">
        <v>579</v>
      </c>
      <c r="C55" s="330" t="s">
        <v>203</v>
      </c>
      <c r="D55" s="330"/>
      <c r="E55" s="330"/>
      <c r="F55" s="330"/>
      <c r="G55" s="330"/>
      <c r="H55" s="330"/>
      <c r="I55" s="330"/>
      <c r="J55" s="330"/>
      <c r="K55" s="330"/>
      <c r="L55" s="330"/>
      <c r="M55" s="330"/>
      <c r="N55" s="330"/>
      <c r="O55" s="330"/>
      <c r="P55" s="330"/>
      <c r="Q55" s="330"/>
      <c r="R55" s="330"/>
      <c r="S55" s="330"/>
    </row>
    <row r="56" spans="1:19" ht="27.75" customHeight="1">
      <c r="A56" s="309"/>
      <c r="B56" s="309"/>
      <c r="C56" s="309"/>
      <c r="D56" s="309"/>
      <c r="E56" s="310" t="s">
        <v>604</v>
      </c>
      <c r="F56" s="311"/>
      <c r="G56" s="311"/>
      <c r="H56" s="311"/>
      <c r="I56" s="311"/>
      <c r="J56" s="311"/>
      <c r="K56" s="311"/>
      <c r="L56" s="311"/>
      <c r="M56" s="113" t="s">
        <v>437</v>
      </c>
      <c r="N56" s="312" t="str">
        <f>封面!$L$1</f>
        <v>TM-0001083</v>
      </c>
      <c r="O56" s="313"/>
      <c r="P56" s="313"/>
      <c r="Q56" s="313"/>
      <c r="R56" s="313"/>
      <c r="S56" s="314"/>
    </row>
    <row r="57" spans="1:19" ht="29.25" customHeight="1">
      <c r="A57" s="309"/>
      <c r="B57" s="309"/>
      <c r="C57" s="309"/>
      <c r="D57" s="309"/>
      <c r="E57" s="311"/>
      <c r="F57" s="311"/>
      <c r="G57" s="311"/>
      <c r="H57" s="311"/>
      <c r="I57" s="311"/>
      <c r="J57" s="311"/>
      <c r="K57" s="311"/>
      <c r="L57" s="311"/>
      <c r="M57" s="113" t="s">
        <v>436</v>
      </c>
      <c r="N57" s="312" t="str">
        <f>封面!$L$2</f>
        <v>A/1</v>
      </c>
      <c r="O57" s="313"/>
      <c r="P57" s="313"/>
      <c r="Q57" s="313"/>
      <c r="R57" s="313"/>
      <c r="S57" s="314"/>
    </row>
    <row r="58" spans="1:19" ht="15.5">
      <c r="A58" s="309"/>
      <c r="B58" s="309"/>
      <c r="C58" s="309"/>
      <c r="D58" s="309"/>
      <c r="E58" s="311"/>
      <c r="F58" s="311"/>
      <c r="G58" s="311"/>
      <c r="H58" s="311"/>
      <c r="I58" s="311"/>
      <c r="J58" s="311"/>
      <c r="K58" s="311"/>
      <c r="L58" s="311"/>
      <c r="M58" s="114" t="s">
        <v>438</v>
      </c>
      <c r="N58" s="265" t="s">
        <v>589</v>
      </c>
      <c r="O58" s="265"/>
      <c r="P58" s="265"/>
      <c r="Q58" s="265"/>
      <c r="R58" s="265"/>
      <c r="S58" s="265"/>
    </row>
    <row r="59" spans="1:19" s="105" customFormat="1" ht="33.75" customHeight="1">
      <c r="A59" s="315" t="s">
        <v>443</v>
      </c>
      <c r="B59" s="315" t="s">
        <v>606</v>
      </c>
      <c r="C59" s="315" t="s">
        <v>607</v>
      </c>
      <c r="D59" s="315" t="s">
        <v>608</v>
      </c>
      <c r="E59" s="315" t="s">
        <v>444</v>
      </c>
      <c r="F59" s="193" t="s">
        <v>445</v>
      </c>
      <c r="G59" s="315" t="s">
        <v>446</v>
      </c>
      <c r="H59" s="193" t="s">
        <v>447</v>
      </c>
      <c r="I59" s="315" t="s">
        <v>448</v>
      </c>
      <c r="J59" s="315"/>
      <c r="K59" s="193" t="s">
        <v>449</v>
      </c>
      <c r="L59" s="193" t="s">
        <v>450</v>
      </c>
      <c r="M59" s="315" t="s">
        <v>451</v>
      </c>
      <c r="N59" s="315" t="s">
        <v>452</v>
      </c>
      <c r="O59" s="315" t="s">
        <v>453</v>
      </c>
      <c r="P59" s="315"/>
      <c r="Q59" s="315"/>
      <c r="R59" s="315"/>
      <c r="S59" s="315"/>
    </row>
    <row r="60" spans="1:19" s="105" customFormat="1" ht="23">
      <c r="A60" s="315"/>
      <c r="B60" s="315"/>
      <c r="C60" s="315"/>
      <c r="D60" s="315"/>
      <c r="E60" s="315"/>
      <c r="F60" s="193" t="s">
        <v>227</v>
      </c>
      <c r="G60" s="315"/>
      <c r="H60" s="193" t="s">
        <v>228</v>
      </c>
      <c r="I60" s="193" t="s">
        <v>609</v>
      </c>
      <c r="J60" s="193" t="s">
        <v>610</v>
      </c>
      <c r="K60" s="193" t="s">
        <v>231</v>
      </c>
      <c r="L60" s="193" t="s">
        <v>232</v>
      </c>
      <c r="M60" s="315"/>
      <c r="N60" s="315"/>
      <c r="O60" s="165" t="s">
        <v>454</v>
      </c>
      <c r="P60" s="193" t="s">
        <v>227</v>
      </c>
      <c r="Q60" s="193" t="s">
        <v>228</v>
      </c>
      <c r="R60" s="193" t="s">
        <v>231</v>
      </c>
      <c r="S60" s="193" t="s">
        <v>232</v>
      </c>
    </row>
    <row r="61" spans="1:19" ht="42.5" customHeight="1">
      <c r="A61" s="309">
        <v>14</v>
      </c>
      <c r="B61" s="325" t="s">
        <v>581</v>
      </c>
      <c r="C61" s="169" t="s">
        <v>546</v>
      </c>
      <c r="D61" s="169" t="s">
        <v>547</v>
      </c>
      <c r="E61" s="169" t="s">
        <v>548</v>
      </c>
      <c r="F61" s="175">
        <v>3</v>
      </c>
      <c r="G61" s="169" t="s">
        <v>549</v>
      </c>
      <c r="H61" s="175">
        <v>1</v>
      </c>
      <c r="I61" s="169" t="s">
        <v>550</v>
      </c>
      <c r="J61" s="169" t="s">
        <v>556</v>
      </c>
      <c r="K61" s="175">
        <v>1</v>
      </c>
      <c r="L61" s="175">
        <v>3</v>
      </c>
      <c r="M61" s="169" t="s">
        <v>479</v>
      </c>
      <c r="N61" s="181" t="s">
        <v>662</v>
      </c>
      <c r="O61" s="181" t="s">
        <v>662</v>
      </c>
      <c r="P61" s="181" t="s">
        <v>662</v>
      </c>
      <c r="Q61" s="181" t="s">
        <v>662</v>
      </c>
      <c r="R61" s="181" t="s">
        <v>662</v>
      </c>
      <c r="S61" s="181" t="s">
        <v>662</v>
      </c>
    </row>
    <row r="62" spans="1:19" ht="158.5" customHeight="1">
      <c r="A62" s="309"/>
      <c r="B62" s="325"/>
      <c r="C62" s="169" t="s">
        <v>551</v>
      </c>
      <c r="D62" s="169" t="s">
        <v>552</v>
      </c>
      <c r="E62" s="169" t="s">
        <v>553</v>
      </c>
      <c r="F62" s="175">
        <v>4</v>
      </c>
      <c r="G62" s="169" t="s">
        <v>554</v>
      </c>
      <c r="H62" s="175">
        <v>2</v>
      </c>
      <c r="I62" s="169" t="s">
        <v>555</v>
      </c>
      <c r="J62" s="169" t="s">
        <v>561</v>
      </c>
      <c r="K62" s="175">
        <v>2</v>
      </c>
      <c r="L62" s="175">
        <f>F62*H62*K62</f>
        <v>16</v>
      </c>
      <c r="M62" s="169" t="s">
        <v>479</v>
      </c>
      <c r="N62" s="181" t="s">
        <v>662</v>
      </c>
      <c r="O62" s="181" t="s">
        <v>662</v>
      </c>
      <c r="P62" s="181" t="s">
        <v>662</v>
      </c>
      <c r="Q62" s="181" t="s">
        <v>662</v>
      </c>
      <c r="R62" s="181" t="s">
        <v>662</v>
      </c>
      <c r="S62" s="181" t="s">
        <v>662</v>
      </c>
    </row>
    <row r="63" spans="1:19" s="105" customFormat="1" ht="158.5" customHeight="1">
      <c r="A63" s="309"/>
      <c r="B63" s="325"/>
      <c r="C63" s="169" t="s">
        <v>580</v>
      </c>
      <c r="D63" s="169" t="s">
        <v>557</v>
      </c>
      <c r="E63" s="169" t="s">
        <v>558</v>
      </c>
      <c r="F63" s="175">
        <v>3</v>
      </c>
      <c r="G63" s="169" t="s">
        <v>559</v>
      </c>
      <c r="H63" s="175">
        <v>2</v>
      </c>
      <c r="I63" s="169" t="s">
        <v>560</v>
      </c>
      <c r="J63" s="169" t="s">
        <v>561</v>
      </c>
      <c r="K63" s="175">
        <v>2</v>
      </c>
      <c r="L63" s="175">
        <f>F63*H63*K63</f>
        <v>12</v>
      </c>
      <c r="M63" s="169" t="s">
        <v>584</v>
      </c>
      <c r="N63" s="181" t="s">
        <v>662</v>
      </c>
      <c r="O63" s="181" t="s">
        <v>662</v>
      </c>
      <c r="P63" s="181" t="s">
        <v>662</v>
      </c>
      <c r="Q63" s="181" t="s">
        <v>662</v>
      </c>
      <c r="R63" s="181" t="s">
        <v>662</v>
      </c>
      <c r="S63" s="181" t="s">
        <v>662</v>
      </c>
    </row>
    <row r="64" spans="1:19" ht="27.75" customHeight="1">
      <c r="A64" s="309"/>
      <c r="B64" s="309"/>
      <c r="C64" s="309"/>
      <c r="D64" s="309"/>
      <c r="E64" s="310" t="s">
        <v>604</v>
      </c>
      <c r="F64" s="311"/>
      <c r="G64" s="311"/>
      <c r="H64" s="311"/>
      <c r="I64" s="311"/>
      <c r="J64" s="311"/>
      <c r="K64" s="311"/>
      <c r="L64" s="311"/>
      <c r="M64" s="113" t="s">
        <v>437</v>
      </c>
      <c r="N64" s="312" t="str">
        <f>封面!$L$1</f>
        <v>TM-0001083</v>
      </c>
      <c r="O64" s="313"/>
      <c r="P64" s="313"/>
      <c r="Q64" s="313"/>
      <c r="R64" s="313"/>
      <c r="S64" s="314"/>
    </row>
    <row r="65" spans="1:19" ht="29.25" customHeight="1">
      <c r="A65" s="309"/>
      <c r="B65" s="309"/>
      <c r="C65" s="309"/>
      <c r="D65" s="309"/>
      <c r="E65" s="311"/>
      <c r="F65" s="311"/>
      <c r="G65" s="311"/>
      <c r="H65" s="311"/>
      <c r="I65" s="311"/>
      <c r="J65" s="311"/>
      <c r="K65" s="311"/>
      <c r="L65" s="311"/>
      <c r="M65" s="113" t="s">
        <v>436</v>
      </c>
      <c r="N65" s="312" t="str">
        <f>封面!$L$2</f>
        <v>A/1</v>
      </c>
      <c r="O65" s="313"/>
      <c r="P65" s="313"/>
      <c r="Q65" s="313"/>
      <c r="R65" s="313"/>
      <c r="S65" s="314"/>
    </row>
    <row r="66" spans="1:19" ht="15.5">
      <c r="A66" s="309"/>
      <c r="B66" s="309"/>
      <c r="C66" s="309"/>
      <c r="D66" s="309"/>
      <c r="E66" s="311"/>
      <c r="F66" s="311"/>
      <c r="G66" s="311"/>
      <c r="H66" s="311"/>
      <c r="I66" s="311"/>
      <c r="J66" s="311"/>
      <c r="K66" s="311"/>
      <c r="L66" s="311"/>
      <c r="M66" s="114" t="s">
        <v>438</v>
      </c>
      <c r="N66" s="265" t="s">
        <v>588</v>
      </c>
      <c r="O66" s="265"/>
      <c r="P66" s="265"/>
      <c r="Q66" s="265"/>
      <c r="R66" s="265"/>
      <c r="S66" s="265"/>
    </row>
    <row r="67" spans="1:19" s="131" customFormat="1" ht="17.5">
      <c r="A67" s="326" t="s">
        <v>621</v>
      </c>
      <c r="B67" s="327"/>
      <c r="C67" s="327"/>
      <c r="D67" s="327"/>
      <c r="E67" s="327"/>
      <c r="F67" s="327"/>
      <c r="G67" s="327"/>
      <c r="H67" s="327"/>
      <c r="I67" s="327"/>
      <c r="J67" s="327"/>
      <c r="K67" s="327"/>
      <c r="L67" s="327"/>
      <c r="M67" s="327"/>
      <c r="N67" s="327"/>
      <c r="O67" s="327"/>
      <c r="P67" s="327"/>
      <c r="Q67" s="327"/>
      <c r="R67" s="327"/>
      <c r="S67" s="328"/>
    </row>
    <row r="68" spans="1:19" s="132" customFormat="1" ht="40" customHeight="1">
      <c r="A68" s="166"/>
      <c r="B68" s="318" t="s">
        <v>622</v>
      </c>
      <c r="C68" s="324"/>
      <c r="D68" s="324"/>
      <c r="E68" s="324"/>
      <c r="F68" s="329"/>
      <c r="G68" s="316" t="s">
        <v>623</v>
      </c>
      <c r="H68" s="316"/>
      <c r="I68" s="316"/>
      <c r="J68" s="318" t="s">
        <v>624</v>
      </c>
      <c r="K68" s="324"/>
      <c r="L68" s="324"/>
      <c r="M68" s="329"/>
      <c r="N68" s="318" t="s">
        <v>625</v>
      </c>
      <c r="O68" s="324"/>
      <c r="P68" s="324"/>
      <c r="Q68" s="324"/>
      <c r="R68" s="324"/>
      <c r="S68" s="329"/>
    </row>
    <row r="69" spans="1:19" s="133" customFormat="1" ht="64" customHeight="1">
      <c r="A69" s="166"/>
      <c r="B69" s="316" t="s">
        <v>626</v>
      </c>
      <c r="C69" s="316"/>
      <c r="D69" s="316"/>
      <c r="E69" s="316"/>
      <c r="F69" s="316"/>
      <c r="G69" s="316" t="s">
        <v>627</v>
      </c>
      <c r="H69" s="316"/>
      <c r="I69" s="316"/>
      <c r="J69" s="316" t="s">
        <v>628</v>
      </c>
      <c r="K69" s="316"/>
      <c r="L69" s="316"/>
      <c r="M69" s="316"/>
      <c r="N69" s="318" t="s">
        <v>190</v>
      </c>
      <c r="O69" s="324"/>
      <c r="P69" s="324"/>
      <c r="Q69" s="324"/>
      <c r="R69" s="324"/>
      <c r="S69" s="329"/>
    </row>
    <row r="70" spans="1:19" ht="64" customHeight="1">
      <c r="A70" s="166"/>
      <c r="B70" s="316" t="s">
        <v>562</v>
      </c>
      <c r="C70" s="316"/>
      <c r="D70" s="316"/>
      <c r="E70" s="316"/>
      <c r="F70" s="316"/>
      <c r="G70" s="316" t="s">
        <v>629</v>
      </c>
      <c r="H70" s="316"/>
      <c r="I70" s="316"/>
      <c r="J70" s="316" t="s">
        <v>563</v>
      </c>
      <c r="K70" s="316"/>
      <c r="L70" s="316"/>
      <c r="M70" s="316"/>
      <c r="N70" s="318" t="s">
        <v>656</v>
      </c>
      <c r="O70" s="324"/>
      <c r="P70" s="324"/>
      <c r="Q70" s="319"/>
      <c r="R70" s="319"/>
      <c r="S70" s="320"/>
    </row>
    <row r="71" spans="1:19" ht="64" customHeight="1">
      <c r="A71" s="166"/>
      <c r="B71" s="316" t="s">
        <v>630</v>
      </c>
      <c r="C71" s="316"/>
      <c r="D71" s="316"/>
      <c r="E71" s="316"/>
      <c r="F71" s="316"/>
      <c r="G71" s="316" t="s">
        <v>631</v>
      </c>
      <c r="H71" s="316"/>
      <c r="I71" s="316"/>
      <c r="J71" s="316" t="s">
        <v>632</v>
      </c>
      <c r="K71" s="316"/>
      <c r="L71" s="317"/>
      <c r="M71" s="317"/>
      <c r="N71" s="318" t="s">
        <v>657</v>
      </c>
      <c r="O71" s="324"/>
      <c r="P71" s="324"/>
      <c r="Q71" s="319"/>
      <c r="R71" s="319"/>
      <c r="S71" s="320"/>
    </row>
    <row r="72" spans="1:19" ht="64" customHeight="1">
      <c r="A72" s="178"/>
      <c r="B72" s="316" t="s">
        <v>633</v>
      </c>
      <c r="C72" s="316"/>
      <c r="D72" s="316"/>
      <c r="E72" s="316"/>
      <c r="F72" s="316"/>
      <c r="G72" s="316" t="s">
        <v>634</v>
      </c>
      <c r="H72" s="316"/>
      <c r="I72" s="316"/>
      <c r="J72" s="316" t="s">
        <v>635</v>
      </c>
      <c r="K72" s="316"/>
      <c r="L72" s="317"/>
      <c r="M72" s="317"/>
      <c r="N72" s="318" t="s">
        <v>658</v>
      </c>
      <c r="O72" s="319"/>
      <c r="P72" s="319"/>
      <c r="Q72" s="319"/>
      <c r="R72" s="319"/>
      <c r="S72" s="320"/>
    </row>
    <row r="73" spans="1:19" ht="110" customHeight="1">
      <c r="A73" s="179"/>
      <c r="B73" s="316" t="s">
        <v>636</v>
      </c>
      <c r="C73" s="316"/>
      <c r="D73" s="316"/>
      <c r="E73" s="316"/>
      <c r="F73" s="316"/>
      <c r="G73" s="316" t="s">
        <v>637</v>
      </c>
      <c r="H73" s="316"/>
      <c r="I73" s="316"/>
      <c r="J73" s="316" t="s">
        <v>638</v>
      </c>
      <c r="K73" s="316"/>
      <c r="L73" s="317"/>
      <c r="M73" s="317"/>
      <c r="N73" s="318" t="s">
        <v>720</v>
      </c>
      <c r="O73" s="319"/>
      <c r="P73" s="319"/>
      <c r="Q73" s="319"/>
      <c r="R73" s="319"/>
      <c r="S73" s="320"/>
    </row>
    <row r="74" spans="1:19">
      <c r="A74" s="273"/>
      <c r="B74" s="274"/>
      <c r="C74" s="274"/>
      <c r="D74" s="274"/>
      <c r="E74" s="274"/>
      <c r="F74" s="274"/>
      <c r="G74" s="274"/>
      <c r="H74" s="274"/>
      <c r="I74" s="274"/>
      <c r="J74" s="274"/>
      <c r="K74" s="274"/>
      <c r="L74" s="274"/>
      <c r="M74" s="274"/>
      <c r="N74" s="274"/>
      <c r="O74" s="274"/>
      <c r="P74" s="274"/>
      <c r="Q74" s="274"/>
      <c r="R74" s="274"/>
      <c r="S74" s="275"/>
    </row>
    <row r="75" spans="1:19">
      <c r="A75" s="321" t="s">
        <v>640</v>
      </c>
      <c r="B75" s="322"/>
      <c r="C75" s="322"/>
      <c r="D75" s="322"/>
      <c r="E75" s="322"/>
      <c r="F75" s="322"/>
      <c r="G75" s="322"/>
      <c r="H75" s="322"/>
      <c r="I75" s="322"/>
      <c r="J75" s="322"/>
      <c r="K75" s="322"/>
      <c r="L75" s="322"/>
      <c r="M75" s="322"/>
      <c r="N75" s="322"/>
      <c r="O75" s="322"/>
      <c r="P75" s="322"/>
      <c r="Q75" s="322"/>
      <c r="R75" s="322"/>
      <c r="S75" s="322"/>
    </row>
    <row r="76" spans="1:19">
      <c r="A76" s="323"/>
      <c r="B76" s="323"/>
      <c r="C76" s="323"/>
      <c r="D76" s="323"/>
      <c r="E76" s="323"/>
      <c r="F76" s="323"/>
      <c r="G76" s="323"/>
      <c r="H76" s="323"/>
      <c r="I76" s="323"/>
      <c r="J76" s="323"/>
      <c r="K76" s="323"/>
      <c r="L76" s="323"/>
      <c r="M76" s="323"/>
      <c r="N76" s="323"/>
      <c r="O76" s="323"/>
      <c r="P76" s="323"/>
      <c r="Q76" s="323"/>
      <c r="R76" s="323"/>
      <c r="S76" s="323"/>
    </row>
  </sheetData>
  <mergeCells count="202">
    <mergeCell ref="N23:S23"/>
    <mergeCell ref="N24:S24"/>
    <mergeCell ref="N25:S25"/>
    <mergeCell ref="A26:A27"/>
    <mergeCell ref="B26:B27"/>
    <mergeCell ref="C26:C27"/>
    <mergeCell ref="D26:D27"/>
    <mergeCell ref="E26:E27"/>
    <mergeCell ref="G26:G27"/>
    <mergeCell ref="I26:J26"/>
    <mergeCell ref="M26:M27"/>
    <mergeCell ref="N26:N27"/>
    <mergeCell ref="O26:S26"/>
    <mergeCell ref="A1:D3"/>
    <mergeCell ref="E1:L3"/>
    <mergeCell ref="N1:S1"/>
    <mergeCell ref="N2:S2"/>
    <mergeCell ref="N3:S3"/>
    <mergeCell ref="A4:A5"/>
    <mergeCell ref="B4:B5"/>
    <mergeCell ref="C4:C5"/>
    <mergeCell ref="D4:D5"/>
    <mergeCell ref="E4:E5"/>
    <mergeCell ref="A21:A22"/>
    <mergeCell ref="B21:B22"/>
    <mergeCell ref="C21:C22"/>
    <mergeCell ref="A8:D10"/>
    <mergeCell ref="E8:L10"/>
    <mergeCell ref="N8:S8"/>
    <mergeCell ref="N9:S9"/>
    <mergeCell ref="N10:S10"/>
    <mergeCell ref="G4:G5"/>
    <mergeCell ref="I4:J4"/>
    <mergeCell ref="M4:M5"/>
    <mergeCell ref="N4:N5"/>
    <mergeCell ref="O4:S4"/>
    <mergeCell ref="A13:A15"/>
    <mergeCell ref="B13:B15"/>
    <mergeCell ref="C13:C14"/>
    <mergeCell ref="E13:E14"/>
    <mergeCell ref="H13:H14"/>
    <mergeCell ref="A16:D18"/>
    <mergeCell ref="E16:L18"/>
    <mergeCell ref="N16:S16"/>
    <mergeCell ref="N17:S17"/>
    <mergeCell ref="N18:S18"/>
    <mergeCell ref="A19:A20"/>
    <mergeCell ref="I11:J11"/>
    <mergeCell ref="M11:M12"/>
    <mergeCell ref="N11:N12"/>
    <mergeCell ref="O11:S11"/>
    <mergeCell ref="A29:A31"/>
    <mergeCell ref="B29:B31"/>
    <mergeCell ref="C29:C31"/>
    <mergeCell ref="A11:A12"/>
    <mergeCell ref="B11:B12"/>
    <mergeCell ref="C11:C12"/>
    <mergeCell ref="D11:D12"/>
    <mergeCell ref="E11:E12"/>
    <mergeCell ref="G11:G12"/>
    <mergeCell ref="B19:B20"/>
    <mergeCell ref="C19:C20"/>
    <mergeCell ref="D19:D20"/>
    <mergeCell ref="E19:E20"/>
    <mergeCell ref="G19:G20"/>
    <mergeCell ref="I19:J19"/>
    <mergeCell ref="M19:M20"/>
    <mergeCell ref="N19:N20"/>
    <mergeCell ref="O19:S19"/>
    <mergeCell ref="A23:D25"/>
    <mergeCell ref="E23:L25"/>
    <mergeCell ref="J49:J50"/>
    <mergeCell ref="K49:K50"/>
    <mergeCell ref="L49:L50"/>
    <mergeCell ref="C32:S32"/>
    <mergeCell ref="C33:S33"/>
    <mergeCell ref="A48:A50"/>
    <mergeCell ref="B48:B50"/>
    <mergeCell ref="D49:D50"/>
    <mergeCell ref="E49:E50"/>
    <mergeCell ref="F49:F50"/>
    <mergeCell ref="G49:G50"/>
    <mergeCell ref="H49:H50"/>
    <mergeCell ref="I49:I50"/>
    <mergeCell ref="P49:P50"/>
    <mergeCell ref="Q49:Q50"/>
    <mergeCell ref="R49:R50"/>
    <mergeCell ref="S49:S50"/>
    <mergeCell ref="M49:M50"/>
    <mergeCell ref="N49:N50"/>
    <mergeCell ref="O49:O50"/>
    <mergeCell ref="E39:E40"/>
    <mergeCell ref="F39:F40"/>
    <mergeCell ref="G39:G40"/>
    <mergeCell ref="H39:H40"/>
    <mergeCell ref="K51:K52"/>
    <mergeCell ref="L51:L52"/>
    <mergeCell ref="M51:M52"/>
    <mergeCell ref="N51:N52"/>
    <mergeCell ref="A51:A52"/>
    <mergeCell ref="B51:B52"/>
    <mergeCell ref="C51:C52"/>
    <mergeCell ref="F51:F52"/>
    <mergeCell ref="G51:G52"/>
    <mergeCell ref="H51:H52"/>
    <mergeCell ref="G46:G47"/>
    <mergeCell ref="I46:J46"/>
    <mergeCell ref="M46:M47"/>
    <mergeCell ref="N46:N47"/>
    <mergeCell ref="O46:S46"/>
    <mergeCell ref="C55:S55"/>
    <mergeCell ref="A43:D45"/>
    <mergeCell ref="E43:L45"/>
    <mergeCell ref="N43:S43"/>
    <mergeCell ref="N44:S44"/>
    <mergeCell ref="N45:S45"/>
    <mergeCell ref="A46:A47"/>
    <mergeCell ref="B46:B47"/>
    <mergeCell ref="C46:C47"/>
    <mergeCell ref="D46:D47"/>
    <mergeCell ref="E46:E47"/>
    <mergeCell ref="O51:O52"/>
    <mergeCell ref="P51:P52"/>
    <mergeCell ref="Q51:Q52"/>
    <mergeCell ref="R51:R52"/>
    <mergeCell ref="S51:S52"/>
    <mergeCell ref="C53:S53"/>
    <mergeCell ref="I51:I52"/>
    <mergeCell ref="J51:J52"/>
    <mergeCell ref="N57:S57"/>
    <mergeCell ref="N58:S58"/>
    <mergeCell ref="A59:A60"/>
    <mergeCell ref="B59:B60"/>
    <mergeCell ref="C59:C60"/>
    <mergeCell ref="D59:D60"/>
    <mergeCell ref="E59:E60"/>
    <mergeCell ref="G59:G60"/>
    <mergeCell ref="I59:J59"/>
    <mergeCell ref="M59:M60"/>
    <mergeCell ref="N59:N60"/>
    <mergeCell ref="O59:S59"/>
    <mergeCell ref="A56:D58"/>
    <mergeCell ref="E56:L58"/>
    <mergeCell ref="N56:S56"/>
    <mergeCell ref="N70:S70"/>
    <mergeCell ref="A61:A63"/>
    <mergeCell ref="B61:B63"/>
    <mergeCell ref="A67:S67"/>
    <mergeCell ref="B68:F68"/>
    <mergeCell ref="G68:I68"/>
    <mergeCell ref="J68:M68"/>
    <mergeCell ref="N68:S68"/>
    <mergeCell ref="A64:D66"/>
    <mergeCell ref="E64:L66"/>
    <mergeCell ref="N64:S64"/>
    <mergeCell ref="N65:S65"/>
    <mergeCell ref="N66:S66"/>
    <mergeCell ref="B69:F69"/>
    <mergeCell ref="G69:I69"/>
    <mergeCell ref="J69:M69"/>
    <mergeCell ref="N69:S69"/>
    <mergeCell ref="B70:F70"/>
    <mergeCell ref="G70:I70"/>
    <mergeCell ref="J70:M70"/>
    <mergeCell ref="B73:F73"/>
    <mergeCell ref="G73:I73"/>
    <mergeCell ref="J73:M73"/>
    <mergeCell ref="N73:S73"/>
    <mergeCell ref="A74:S74"/>
    <mergeCell ref="A75:S76"/>
    <mergeCell ref="B71:F71"/>
    <mergeCell ref="G71:I71"/>
    <mergeCell ref="J71:M71"/>
    <mergeCell ref="N71:S71"/>
    <mergeCell ref="B72:F72"/>
    <mergeCell ref="G72:I72"/>
    <mergeCell ref="J72:M72"/>
    <mergeCell ref="N72:S72"/>
    <mergeCell ref="A34:D36"/>
    <mergeCell ref="E34:L36"/>
    <mergeCell ref="N34:S34"/>
    <mergeCell ref="N35:S35"/>
    <mergeCell ref="N36:S36"/>
    <mergeCell ref="A37:A38"/>
    <mergeCell ref="B37:B38"/>
    <mergeCell ref="C37:C38"/>
    <mergeCell ref="D37:D38"/>
    <mergeCell ref="E37:E38"/>
    <mergeCell ref="G37:G38"/>
    <mergeCell ref="I37:J37"/>
    <mergeCell ref="M37:M38"/>
    <mergeCell ref="N37:N38"/>
    <mergeCell ref="O37:S37"/>
    <mergeCell ref="I39:I40"/>
    <mergeCell ref="J39:J41"/>
    <mergeCell ref="K39:K40"/>
    <mergeCell ref="L39:L40"/>
    <mergeCell ref="M39:M40"/>
    <mergeCell ref="N39:N41"/>
    <mergeCell ref="A39:A42"/>
    <mergeCell ref="B39:B42"/>
    <mergeCell ref="C39:C42"/>
  </mergeCells>
  <phoneticPr fontId="29" type="noConversion"/>
  <pageMargins left="0.70866141732283472" right="0.70866141732283472" top="0.74803149606299213" bottom="0.74803149606299213" header="0.31496062992125984" footer="0.31496062992125984"/>
  <pageSetup paperSize="9" scale="66" orientation="landscape" r:id="rId1"/>
  <rowBreaks count="7" manualBreakCount="7">
    <brk id="7" max="18" man="1"/>
    <brk id="15" max="18" man="1"/>
    <brk id="22" max="18" man="1"/>
    <brk id="33" max="18" man="1"/>
    <brk id="42" max="18" man="1"/>
    <brk id="55" max="18" man="1"/>
    <brk id="63" max="18"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4"/>
  <sheetViews>
    <sheetView view="pageBreakPreview" topLeftCell="A4" zoomScale="70" zoomScaleNormal="100" zoomScaleSheetLayoutView="70" workbookViewId="0">
      <selection activeCell="L10" sqref="L10:M10"/>
    </sheetView>
  </sheetViews>
  <sheetFormatPr defaultColWidth="9.81640625" defaultRowHeight="14"/>
  <cols>
    <col min="1" max="1" width="8.81640625" style="110" customWidth="1"/>
    <col min="2" max="2" width="4.54296875" style="110" customWidth="1"/>
    <col min="3" max="3" width="8" style="110" customWidth="1"/>
    <col min="4" max="4" width="10.453125" style="110" customWidth="1"/>
    <col min="5" max="5" width="4.54296875" style="110" customWidth="1"/>
    <col min="6" max="6" width="9.453125" style="110" customWidth="1"/>
    <col min="7" max="7" width="13.54296875" style="110" customWidth="1"/>
    <col min="8" max="8" width="11.1796875" style="110" customWidth="1"/>
    <col min="9" max="9" width="14.7265625" style="110" customWidth="1"/>
    <col min="10" max="10" width="9.81640625" style="110"/>
    <col min="11" max="11" width="13.26953125" style="110" customWidth="1"/>
    <col min="12" max="16384" width="9.81640625" style="110"/>
  </cols>
  <sheetData>
    <row r="1" spans="1:13" ht="30.75" customHeight="1">
      <c r="A1" s="232"/>
      <c r="B1" s="232"/>
      <c r="C1" s="232"/>
      <c r="D1" s="232"/>
      <c r="E1" s="357" t="str">
        <f>封面!E1</f>
        <v>一次性胰胆成像导管过程失效模式及后果分析（PFMEA)（G06 欧盟）
Single-use Video Pancreaticobiliary Scope PFMEA （G06 EU）</v>
      </c>
      <c r="F1" s="358"/>
      <c r="G1" s="358"/>
      <c r="H1" s="358"/>
      <c r="I1" s="358"/>
      <c r="J1" s="358"/>
      <c r="K1" s="113" t="s">
        <v>197</v>
      </c>
      <c r="L1" s="363" t="str">
        <f>封面!L1</f>
        <v>TM-0001083</v>
      </c>
      <c r="M1" s="364"/>
    </row>
    <row r="2" spans="1:13" ht="30" customHeight="1">
      <c r="A2" s="232"/>
      <c r="B2" s="232"/>
      <c r="C2" s="232"/>
      <c r="D2" s="232"/>
      <c r="E2" s="359"/>
      <c r="F2" s="360"/>
      <c r="G2" s="360"/>
      <c r="H2" s="360"/>
      <c r="I2" s="360"/>
      <c r="J2" s="360"/>
      <c r="K2" s="113" t="s">
        <v>198</v>
      </c>
      <c r="L2" s="365" t="str">
        <f>封面!L2</f>
        <v>A/1</v>
      </c>
      <c r="M2" s="365"/>
    </row>
    <row r="3" spans="1:13" ht="32.25" customHeight="1">
      <c r="A3" s="232"/>
      <c r="B3" s="232"/>
      <c r="C3" s="232"/>
      <c r="D3" s="232"/>
      <c r="E3" s="361"/>
      <c r="F3" s="362"/>
      <c r="G3" s="362"/>
      <c r="H3" s="362"/>
      <c r="I3" s="362"/>
      <c r="J3" s="362"/>
      <c r="K3" s="114" t="s">
        <v>199</v>
      </c>
      <c r="L3" s="265" t="s">
        <v>659</v>
      </c>
      <c r="M3" s="265"/>
    </row>
    <row r="4" spans="1:13" ht="20.149999999999999" customHeight="1">
      <c r="A4" s="366" t="s">
        <v>195</v>
      </c>
      <c r="B4" s="366"/>
      <c r="C4" s="366"/>
      <c r="D4" s="366"/>
      <c r="E4" s="366"/>
      <c r="F4" s="366"/>
      <c r="G4" s="366"/>
      <c r="H4" s="366"/>
      <c r="I4" s="366"/>
      <c r="J4" s="366"/>
      <c r="K4" s="366"/>
      <c r="L4" s="366"/>
      <c r="M4" s="366"/>
    </row>
    <row r="5" spans="1:13" ht="20.149999999999999" customHeight="1">
      <c r="A5" s="366"/>
      <c r="B5" s="366"/>
      <c r="C5" s="366"/>
      <c r="D5" s="366"/>
      <c r="E5" s="366"/>
      <c r="F5" s="366"/>
      <c r="G5" s="366"/>
      <c r="H5" s="366"/>
      <c r="I5" s="366"/>
      <c r="J5" s="366"/>
      <c r="K5" s="366"/>
      <c r="L5" s="366"/>
      <c r="M5" s="366"/>
    </row>
    <row r="6" spans="1:13" ht="48.75" customHeight="1">
      <c r="A6" s="187" t="s">
        <v>651</v>
      </c>
      <c r="B6" s="369" t="s">
        <v>652</v>
      </c>
      <c r="C6" s="370"/>
      <c r="D6" s="373" t="s">
        <v>653</v>
      </c>
      <c r="E6" s="373"/>
      <c r="F6" s="373"/>
      <c r="G6" s="373"/>
      <c r="H6" s="373"/>
      <c r="I6" s="373"/>
      <c r="J6" s="373" t="s">
        <v>654</v>
      </c>
      <c r="K6" s="373"/>
      <c r="L6" s="367" t="s">
        <v>655</v>
      </c>
      <c r="M6" s="367"/>
    </row>
    <row r="7" spans="1:13" ht="66" customHeight="1">
      <c r="A7" s="188">
        <v>1</v>
      </c>
      <c r="B7" s="371" t="s">
        <v>201</v>
      </c>
      <c r="C7" s="372"/>
      <c r="D7" s="378" t="s">
        <v>660</v>
      </c>
      <c r="E7" s="378"/>
      <c r="F7" s="378"/>
      <c r="G7" s="378"/>
      <c r="H7" s="378"/>
      <c r="I7" s="378"/>
      <c r="J7" s="374">
        <v>45666</v>
      </c>
      <c r="K7" s="375"/>
      <c r="L7" s="368" t="s">
        <v>650</v>
      </c>
      <c r="M7" s="368"/>
    </row>
    <row r="8" spans="1:13" ht="66" customHeight="1">
      <c r="A8" s="194">
        <v>2</v>
      </c>
      <c r="B8" s="371" t="s">
        <v>668</v>
      </c>
      <c r="C8" s="372"/>
      <c r="D8" s="356" t="s">
        <v>721</v>
      </c>
      <c r="E8" s="356"/>
      <c r="F8" s="356"/>
      <c r="G8" s="356"/>
      <c r="H8" s="356"/>
      <c r="I8" s="356"/>
      <c r="J8" s="376">
        <v>46087</v>
      </c>
      <c r="K8" s="377"/>
      <c r="L8" s="368" t="s">
        <v>722</v>
      </c>
      <c r="M8" s="368"/>
    </row>
    <row r="9" spans="1:13" s="116" customFormat="1" ht="35.25" customHeight="1">
      <c r="A9" s="115"/>
      <c r="B9" s="350"/>
      <c r="C9" s="351"/>
      <c r="D9" s="350"/>
      <c r="E9" s="353"/>
      <c r="F9" s="353"/>
      <c r="G9" s="353"/>
      <c r="H9" s="353"/>
      <c r="I9" s="351"/>
      <c r="J9" s="354"/>
      <c r="K9" s="351"/>
      <c r="L9" s="350"/>
      <c r="M9" s="351"/>
    </row>
    <row r="10" spans="1:13" ht="33" customHeight="1">
      <c r="A10" s="119"/>
      <c r="B10" s="350"/>
      <c r="C10" s="351"/>
      <c r="D10" s="350"/>
      <c r="E10" s="353"/>
      <c r="F10" s="353"/>
      <c r="G10" s="353"/>
      <c r="H10" s="353"/>
      <c r="I10" s="351"/>
      <c r="J10" s="354"/>
      <c r="K10" s="355"/>
      <c r="L10" s="350"/>
      <c r="M10" s="351"/>
    </row>
    <row r="11" spans="1:13" ht="36.75" customHeight="1">
      <c r="A11" s="115"/>
      <c r="B11" s="350"/>
      <c r="C11" s="351"/>
      <c r="D11" s="350"/>
      <c r="E11" s="353"/>
      <c r="F11" s="353"/>
      <c r="G11" s="353"/>
      <c r="H11" s="353"/>
      <c r="I11" s="351"/>
      <c r="J11" s="354"/>
      <c r="K11" s="351"/>
      <c r="L11" s="350"/>
      <c r="M11" s="351"/>
    </row>
    <row r="12" spans="1:13" ht="36.75" customHeight="1">
      <c r="A12" s="115"/>
      <c r="B12" s="350"/>
      <c r="C12" s="351"/>
      <c r="D12" s="352"/>
      <c r="E12" s="353"/>
      <c r="F12" s="353"/>
      <c r="G12" s="353"/>
      <c r="H12" s="353"/>
      <c r="I12" s="351"/>
      <c r="J12" s="354"/>
      <c r="K12" s="351"/>
      <c r="L12" s="350"/>
      <c r="M12" s="351"/>
    </row>
    <row r="13" spans="1:13" ht="36.75" customHeight="1">
      <c r="A13" s="115"/>
      <c r="B13" s="350"/>
      <c r="C13" s="351"/>
      <c r="D13" s="352"/>
      <c r="E13" s="353"/>
      <c r="F13" s="353"/>
      <c r="G13" s="353"/>
      <c r="H13" s="353"/>
      <c r="I13" s="351"/>
      <c r="J13" s="354"/>
      <c r="K13" s="351"/>
      <c r="L13" s="350"/>
      <c r="M13" s="351"/>
    </row>
    <row r="14" spans="1:13" ht="41.25" customHeight="1">
      <c r="A14" s="115"/>
      <c r="B14" s="350"/>
      <c r="C14" s="351"/>
      <c r="D14" s="352"/>
      <c r="E14" s="353"/>
      <c r="F14" s="353"/>
      <c r="G14" s="353"/>
      <c r="H14" s="353"/>
      <c r="I14" s="351"/>
      <c r="J14" s="354"/>
      <c r="K14" s="351"/>
      <c r="L14" s="350"/>
      <c r="M14" s="351"/>
    </row>
  </sheetData>
  <mergeCells count="42">
    <mergeCell ref="B13:C13"/>
    <mergeCell ref="D13:I13"/>
    <mergeCell ref="J13:K13"/>
    <mergeCell ref="L13:M13"/>
    <mergeCell ref="A4:M5"/>
    <mergeCell ref="L6:M6"/>
    <mergeCell ref="L7:M7"/>
    <mergeCell ref="L8:M8"/>
    <mergeCell ref="B6:C6"/>
    <mergeCell ref="B7:C7"/>
    <mergeCell ref="B8:C8"/>
    <mergeCell ref="J6:K6"/>
    <mergeCell ref="J7:K7"/>
    <mergeCell ref="J8:K8"/>
    <mergeCell ref="D6:I6"/>
    <mergeCell ref="D7:I7"/>
    <mergeCell ref="A1:D3"/>
    <mergeCell ref="E1:J3"/>
    <mergeCell ref="L1:M1"/>
    <mergeCell ref="L2:M2"/>
    <mergeCell ref="L3:M3"/>
    <mergeCell ref="J9:K9"/>
    <mergeCell ref="L9:M9"/>
    <mergeCell ref="B9:C9"/>
    <mergeCell ref="D9:I9"/>
    <mergeCell ref="D8:I8"/>
    <mergeCell ref="B14:C14"/>
    <mergeCell ref="D14:I14"/>
    <mergeCell ref="J14:K14"/>
    <mergeCell ref="L14:M14"/>
    <mergeCell ref="B10:C10"/>
    <mergeCell ref="D10:I10"/>
    <mergeCell ref="J10:K10"/>
    <mergeCell ref="L10:M10"/>
    <mergeCell ref="B11:C11"/>
    <mergeCell ref="D11:I11"/>
    <mergeCell ref="J11:K11"/>
    <mergeCell ref="L11:M11"/>
    <mergeCell ref="B12:C12"/>
    <mergeCell ref="D12:I12"/>
    <mergeCell ref="J12:K12"/>
    <mergeCell ref="L12:M12"/>
  </mergeCells>
  <phoneticPr fontId="52" type="noConversion"/>
  <pageMargins left="0.98425196850393704" right="0.98425196850393704" top="0.98425196850393704" bottom="0.98425196850393704" header="0.51181102362204722" footer="0.51181102362204722"/>
  <pageSetup paperSize="9" scale="92" orientation="landscape"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N45"/>
  <sheetViews>
    <sheetView zoomScale="75" workbookViewId="0">
      <selection activeCell="F10" sqref="F10"/>
    </sheetView>
  </sheetViews>
  <sheetFormatPr defaultColWidth="9.1796875" defaultRowHeight="14"/>
  <cols>
    <col min="1" max="13" width="14.7265625" style="39" customWidth="1"/>
    <col min="14" max="14" width="35.7265625" style="39" customWidth="1"/>
    <col min="15" max="16384" width="9.1796875" style="39"/>
  </cols>
  <sheetData>
    <row r="1" spans="1:14" s="28" customFormat="1" ht="20.149999999999999" customHeight="1">
      <c r="A1" s="47" t="s">
        <v>111</v>
      </c>
      <c r="B1" s="47"/>
      <c r="C1" s="47"/>
      <c r="D1" s="47"/>
      <c r="E1" s="48"/>
      <c r="F1" s="49"/>
      <c r="G1" s="50"/>
      <c r="H1" s="50"/>
      <c r="I1" s="48"/>
      <c r="J1" s="48"/>
      <c r="K1" s="48"/>
      <c r="L1" s="48"/>
      <c r="M1" s="48"/>
      <c r="N1" s="51"/>
    </row>
    <row r="2" spans="1:14" s="28" customFormat="1" ht="32.25" customHeight="1">
      <c r="A2" s="52" t="s">
        <v>0</v>
      </c>
      <c r="B2" s="52"/>
      <c r="C2" s="52"/>
      <c r="D2" s="52"/>
      <c r="E2" s="53"/>
      <c r="F2" s="49"/>
      <c r="G2" s="54"/>
      <c r="H2" s="54"/>
      <c r="I2" s="53"/>
      <c r="J2" s="53"/>
      <c r="K2" s="53"/>
      <c r="L2" s="53"/>
      <c r="M2" s="53"/>
      <c r="N2" s="55"/>
    </row>
    <row r="3" spans="1:14" s="28" customFormat="1" ht="23.25" customHeight="1">
      <c r="C3" s="62" t="s">
        <v>1</v>
      </c>
      <c r="D3" s="33"/>
      <c r="E3" s="34" t="s">
        <v>132</v>
      </c>
      <c r="F3" s="35"/>
      <c r="G3" s="29"/>
      <c r="H3" s="29"/>
      <c r="I3" s="62" t="s">
        <v>134</v>
      </c>
      <c r="J3" s="61" t="s">
        <v>132</v>
      </c>
      <c r="K3" s="61"/>
      <c r="L3" s="61"/>
      <c r="M3" s="40"/>
      <c r="N3" s="30"/>
    </row>
    <row r="4" spans="1:14" s="28" customFormat="1">
      <c r="C4" s="62" t="s">
        <v>21</v>
      </c>
      <c r="D4" s="56"/>
      <c r="E4" s="57" t="s">
        <v>132</v>
      </c>
      <c r="F4" s="58"/>
      <c r="G4" s="29"/>
      <c r="H4" s="29"/>
      <c r="I4" s="31"/>
      <c r="J4" s="29"/>
      <c r="K4" s="29"/>
      <c r="L4" s="29"/>
      <c r="M4" s="29"/>
      <c r="N4" s="30"/>
    </row>
    <row r="5" spans="1:14" s="59" customFormat="1">
      <c r="C5" s="62" t="s">
        <v>2</v>
      </c>
      <c r="D5" s="56"/>
      <c r="E5" s="57" t="s">
        <v>132</v>
      </c>
      <c r="F5" s="58"/>
      <c r="G5" s="29"/>
      <c r="H5" s="29"/>
      <c r="I5" s="29"/>
      <c r="J5" s="29"/>
      <c r="K5" s="29"/>
      <c r="L5" s="29"/>
      <c r="M5" s="29"/>
      <c r="N5" s="60"/>
    </row>
    <row r="6" spans="1:14" s="59" customFormat="1">
      <c r="A6" s="32"/>
      <c r="B6" s="32"/>
      <c r="C6" s="33"/>
      <c r="D6" s="33"/>
      <c r="E6" s="34"/>
      <c r="F6" s="35"/>
      <c r="G6" s="36"/>
      <c r="H6" s="36"/>
      <c r="I6" s="36"/>
      <c r="J6" s="36"/>
      <c r="K6" s="36"/>
      <c r="L6" s="36"/>
      <c r="M6" s="36"/>
      <c r="N6" s="37"/>
    </row>
    <row r="7" spans="1:14" s="38" customFormat="1" ht="56.25" customHeight="1">
      <c r="A7" s="43" t="s">
        <v>138</v>
      </c>
      <c r="B7" s="43" t="s">
        <v>112</v>
      </c>
      <c r="C7" s="43" t="s">
        <v>113</v>
      </c>
      <c r="D7" s="43" t="s">
        <v>136</v>
      </c>
      <c r="E7" s="43" t="s">
        <v>137</v>
      </c>
      <c r="F7" s="43" t="s">
        <v>139</v>
      </c>
      <c r="G7" s="43" t="s">
        <v>114</v>
      </c>
      <c r="H7" s="43" t="s">
        <v>115</v>
      </c>
      <c r="I7" s="43" t="s">
        <v>116</v>
      </c>
      <c r="J7" s="43" t="s">
        <v>117</v>
      </c>
      <c r="K7" s="42" t="s">
        <v>135</v>
      </c>
      <c r="L7" s="41" t="s">
        <v>118</v>
      </c>
      <c r="M7" s="43" t="s">
        <v>119</v>
      </c>
      <c r="N7" s="41" t="s">
        <v>120</v>
      </c>
    </row>
    <row r="8" spans="1:14" ht="40" customHeight="1">
      <c r="A8" s="44" t="s">
        <v>121</v>
      </c>
      <c r="B8" s="44"/>
      <c r="C8" s="44"/>
      <c r="D8" s="44"/>
      <c r="E8" s="44"/>
      <c r="F8" s="45"/>
      <c r="G8" s="43"/>
      <c r="H8" s="43"/>
      <c r="I8" s="45"/>
      <c r="J8" s="45"/>
      <c r="K8" s="45"/>
      <c r="L8" s="45"/>
      <c r="M8" s="45"/>
      <c r="N8" s="45"/>
    </row>
    <row r="9" spans="1:14" ht="48.75" customHeight="1">
      <c r="A9" s="44"/>
      <c r="B9" s="44" t="s">
        <v>122</v>
      </c>
      <c r="C9" s="44"/>
      <c r="D9" s="44"/>
      <c r="E9" s="44"/>
      <c r="F9" s="45"/>
      <c r="G9" s="43"/>
      <c r="H9" s="43"/>
      <c r="I9" s="45"/>
      <c r="J9" s="45"/>
      <c r="K9" s="45"/>
      <c r="L9" s="45"/>
      <c r="M9" s="45"/>
      <c r="N9" s="45"/>
    </row>
    <row r="10" spans="1:14" ht="40" customHeight="1">
      <c r="A10" s="44"/>
      <c r="B10" s="44"/>
      <c r="C10" s="44" t="s">
        <v>123</v>
      </c>
      <c r="D10" s="44"/>
      <c r="E10" s="44"/>
      <c r="F10" s="45"/>
      <c r="G10" s="43"/>
      <c r="H10" s="43"/>
      <c r="I10" s="45"/>
      <c r="J10" s="45"/>
      <c r="K10" s="45"/>
      <c r="L10" s="45"/>
      <c r="M10" s="45"/>
      <c r="N10" s="45"/>
    </row>
    <row r="11" spans="1:14" ht="49.5" customHeight="1">
      <c r="A11" s="44"/>
      <c r="B11" s="44"/>
      <c r="C11" s="44"/>
      <c r="D11" s="44" t="s">
        <v>124</v>
      </c>
      <c r="E11" s="44"/>
      <c r="F11" s="45"/>
      <c r="G11" s="43"/>
      <c r="H11" s="43"/>
      <c r="I11" s="45"/>
      <c r="J11" s="45"/>
      <c r="K11" s="45"/>
      <c r="L11" s="45"/>
      <c r="M11" s="45"/>
      <c r="N11" s="45"/>
    </row>
    <row r="12" spans="1:14" ht="42" customHeight="1">
      <c r="A12" s="44"/>
      <c r="B12" s="44"/>
      <c r="C12" s="44"/>
      <c r="D12" s="44"/>
      <c r="E12" s="44" t="s">
        <v>140</v>
      </c>
      <c r="F12" s="45"/>
      <c r="G12" s="43"/>
      <c r="H12" s="43"/>
      <c r="I12" s="45"/>
      <c r="J12" s="44" t="s">
        <v>146</v>
      </c>
      <c r="K12" s="45"/>
      <c r="L12" s="45"/>
      <c r="M12" s="45" t="s">
        <v>125</v>
      </c>
      <c r="N12" s="45"/>
    </row>
    <row r="13" spans="1:14" ht="42.75" customHeight="1">
      <c r="A13" s="44"/>
      <c r="B13" s="44"/>
      <c r="C13" s="44"/>
      <c r="D13" s="44"/>
      <c r="E13" s="44"/>
      <c r="F13" s="45"/>
      <c r="G13" s="43"/>
      <c r="H13" s="43"/>
      <c r="I13" s="45"/>
      <c r="J13" s="44" t="s">
        <v>147</v>
      </c>
      <c r="K13" s="45"/>
      <c r="L13" s="45"/>
      <c r="M13" s="45" t="s">
        <v>126</v>
      </c>
      <c r="N13" s="45"/>
    </row>
    <row r="14" spans="1:14" ht="44.25" customHeight="1">
      <c r="A14" s="44"/>
      <c r="B14" s="44"/>
      <c r="C14" s="44"/>
      <c r="D14" s="44"/>
      <c r="E14" s="44"/>
      <c r="F14" s="45"/>
      <c r="G14" s="43"/>
      <c r="H14" s="43"/>
      <c r="I14" s="45"/>
      <c r="J14" s="44" t="s">
        <v>148</v>
      </c>
      <c r="K14" s="45"/>
      <c r="L14" s="45"/>
      <c r="M14" s="45" t="s">
        <v>6</v>
      </c>
      <c r="N14" s="45"/>
    </row>
    <row r="15" spans="1:14" ht="55.5" customHeight="1">
      <c r="A15" s="45"/>
      <c r="B15" s="45"/>
      <c r="C15" s="45"/>
      <c r="D15" s="45"/>
      <c r="E15" s="44" t="s">
        <v>141</v>
      </c>
      <c r="F15" s="45"/>
      <c r="G15" s="44"/>
      <c r="H15" s="44"/>
      <c r="I15" s="45"/>
      <c r="J15" s="44" t="s">
        <v>140</v>
      </c>
      <c r="K15" s="45"/>
      <c r="L15" s="45"/>
      <c r="M15" s="45" t="s">
        <v>125</v>
      </c>
      <c r="N15" s="45"/>
    </row>
    <row r="16" spans="1:14" ht="55.5" customHeight="1">
      <c r="A16" s="45"/>
      <c r="B16" s="45"/>
      <c r="C16" s="45"/>
      <c r="D16" s="45"/>
      <c r="E16" s="44"/>
      <c r="F16" s="45"/>
      <c r="G16" s="44"/>
      <c r="H16" s="44"/>
      <c r="I16" s="45"/>
      <c r="J16" s="44" t="s">
        <v>149</v>
      </c>
      <c r="K16" s="45"/>
      <c r="L16" s="45"/>
      <c r="M16" s="45" t="s">
        <v>6</v>
      </c>
      <c r="N16" s="45"/>
    </row>
    <row r="17" spans="1:14" ht="55.5" customHeight="1">
      <c r="A17" s="45"/>
      <c r="B17" s="45"/>
      <c r="C17" s="45"/>
      <c r="D17" s="45"/>
      <c r="E17" s="44"/>
      <c r="F17" s="45"/>
      <c r="G17" s="44"/>
      <c r="H17" s="44"/>
      <c r="I17" s="45"/>
      <c r="J17" s="44" t="s">
        <v>150</v>
      </c>
      <c r="K17" s="45"/>
      <c r="L17" s="45"/>
      <c r="M17" s="45" t="s">
        <v>6</v>
      </c>
      <c r="N17" s="45"/>
    </row>
    <row r="18" spans="1:14" ht="55.5" customHeight="1">
      <c r="A18" s="45"/>
      <c r="B18" s="45"/>
      <c r="C18" s="45"/>
      <c r="D18" s="45"/>
      <c r="E18" s="44"/>
      <c r="F18" s="45"/>
      <c r="G18" s="44"/>
      <c r="H18" s="44"/>
      <c r="I18" s="45"/>
      <c r="J18" s="44" t="s">
        <v>143</v>
      </c>
      <c r="K18" s="45"/>
      <c r="L18" s="45"/>
      <c r="M18" s="45" t="s">
        <v>125</v>
      </c>
      <c r="N18" s="45"/>
    </row>
    <row r="19" spans="1:14" ht="55.5" customHeight="1">
      <c r="A19" s="45"/>
      <c r="B19" s="45"/>
      <c r="C19" s="45"/>
      <c r="D19" s="45"/>
      <c r="E19" s="44"/>
      <c r="F19" s="45"/>
      <c r="G19" s="44"/>
      <c r="H19" s="44"/>
      <c r="I19" s="45"/>
      <c r="J19" s="44" t="s">
        <v>144</v>
      </c>
      <c r="K19" s="45"/>
      <c r="L19" s="45"/>
      <c r="M19" s="45" t="s">
        <v>125</v>
      </c>
      <c r="N19" s="45"/>
    </row>
    <row r="20" spans="1:14" ht="55.5" customHeight="1">
      <c r="A20" s="45"/>
      <c r="B20" s="45"/>
      <c r="C20" s="45"/>
      <c r="D20" s="45"/>
      <c r="E20" s="44"/>
      <c r="F20" s="45"/>
      <c r="G20" s="44"/>
      <c r="H20" s="44"/>
      <c r="I20" s="45"/>
      <c r="J20" s="44" t="s">
        <v>151</v>
      </c>
      <c r="K20" s="45"/>
      <c r="L20" s="45"/>
      <c r="M20" s="45" t="s">
        <v>125</v>
      </c>
      <c r="N20" s="45"/>
    </row>
    <row r="21" spans="1:14" ht="55.5" customHeight="1">
      <c r="A21" s="45"/>
      <c r="B21" s="45"/>
      <c r="C21" s="45"/>
      <c r="D21" s="45"/>
      <c r="E21" s="44"/>
      <c r="F21" s="45"/>
      <c r="G21" s="44"/>
      <c r="H21" s="44"/>
      <c r="I21" s="45"/>
      <c r="J21" s="44" t="s">
        <v>152</v>
      </c>
      <c r="K21" s="45"/>
      <c r="L21" s="45"/>
      <c r="M21" s="45" t="s">
        <v>125</v>
      </c>
      <c r="N21" s="45"/>
    </row>
    <row r="22" spans="1:14" ht="55.5" customHeight="1">
      <c r="A22" s="45"/>
      <c r="B22" s="45"/>
      <c r="C22" s="45"/>
      <c r="D22" s="45"/>
      <c r="E22" s="44"/>
      <c r="F22" s="45"/>
      <c r="G22" s="44"/>
      <c r="H22" s="44"/>
      <c r="I22" s="45"/>
      <c r="J22" s="44" t="s">
        <v>153</v>
      </c>
      <c r="K22" s="45"/>
      <c r="L22" s="45"/>
      <c r="M22" s="45" t="s">
        <v>125</v>
      </c>
      <c r="N22" s="45"/>
    </row>
    <row r="23" spans="1:14" ht="55.5" customHeight="1">
      <c r="A23" s="45"/>
      <c r="B23" s="45"/>
      <c r="C23" s="45"/>
      <c r="D23" s="45"/>
      <c r="E23" s="44"/>
      <c r="F23" s="45"/>
      <c r="G23" s="44"/>
      <c r="H23" s="44"/>
      <c r="I23" s="45"/>
      <c r="J23" s="44" t="s">
        <v>154</v>
      </c>
      <c r="K23" s="45"/>
      <c r="L23" s="45"/>
      <c r="M23" s="45" t="s">
        <v>125</v>
      </c>
      <c r="N23" s="45"/>
    </row>
    <row r="24" spans="1:14" ht="64.5" customHeight="1">
      <c r="A24" s="45"/>
      <c r="B24" s="45"/>
      <c r="C24" s="45"/>
      <c r="D24" s="45"/>
      <c r="E24" s="44" t="s">
        <v>143</v>
      </c>
      <c r="F24" s="45"/>
      <c r="G24" s="46"/>
      <c r="H24" s="46"/>
      <c r="I24" s="44"/>
      <c r="J24" s="44" t="s">
        <v>141</v>
      </c>
      <c r="K24" s="44"/>
      <c r="L24" s="44"/>
      <c r="M24" s="45" t="s">
        <v>125</v>
      </c>
      <c r="N24" s="45"/>
    </row>
    <row r="25" spans="1:14" ht="64.5" customHeight="1">
      <c r="A25" s="45"/>
      <c r="B25" s="45"/>
      <c r="C25" s="45"/>
      <c r="D25" s="45"/>
      <c r="E25" s="44"/>
      <c r="F25" s="45"/>
      <c r="G25" s="46"/>
      <c r="H25" s="46"/>
      <c r="I25" s="44"/>
      <c r="J25" s="44" t="s">
        <v>155</v>
      </c>
      <c r="K25" s="44"/>
      <c r="L25" s="44"/>
      <c r="M25" s="45" t="s">
        <v>126</v>
      </c>
      <c r="N25" s="45"/>
    </row>
    <row r="26" spans="1:14" ht="64.5" customHeight="1">
      <c r="A26" s="45"/>
      <c r="B26" s="45"/>
      <c r="C26" s="45"/>
      <c r="D26" s="45"/>
      <c r="E26" s="44"/>
      <c r="F26" s="45"/>
      <c r="G26" s="46"/>
      <c r="H26" s="46"/>
      <c r="I26" s="44"/>
      <c r="J26" s="44" t="s">
        <v>147</v>
      </c>
      <c r="K26" s="45"/>
      <c r="L26" s="45"/>
      <c r="M26" s="45" t="s">
        <v>126</v>
      </c>
      <c r="N26" s="45"/>
    </row>
    <row r="27" spans="1:14" ht="64.5" customHeight="1">
      <c r="A27" s="45"/>
      <c r="B27" s="45"/>
      <c r="C27" s="45"/>
      <c r="D27" s="45"/>
      <c r="E27" s="44"/>
      <c r="F27" s="45"/>
      <c r="G27" s="46"/>
      <c r="H27" s="46"/>
      <c r="I27" s="44"/>
      <c r="J27" s="44" t="s">
        <v>149</v>
      </c>
      <c r="K27" s="45"/>
      <c r="L27" s="45"/>
      <c r="M27" s="45" t="s">
        <v>6</v>
      </c>
      <c r="N27" s="45"/>
    </row>
    <row r="28" spans="1:14" ht="55.5" customHeight="1">
      <c r="A28" s="45"/>
      <c r="B28" s="45"/>
      <c r="C28" s="45"/>
      <c r="D28" s="45"/>
      <c r="E28" s="44" t="s">
        <v>142</v>
      </c>
      <c r="F28" s="45"/>
      <c r="G28" s="46"/>
      <c r="H28" s="46"/>
      <c r="I28" s="45"/>
      <c r="J28" s="44" t="s">
        <v>127</v>
      </c>
      <c r="K28" s="44"/>
      <c r="L28" s="44"/>
      <c r="M28" s="45" t="s">
        <v>125</v>
      </c>
      <c r="N28" s="45"/>
    </row>
    <row r="29" spans="1:14" ht="55.5" customHeight="1">
      <c r="A29" s="45"/>
      <c r="B29" s="45"/>
      <c r="C29" s="45"/>
      <c r="D29" s="45"/>
      <c r="E29" s="44"/>
      <c r="F29" s="45"/>
      <c r="G29" s="46"/>
      <c r="H29" s="46"/>
      <c r="I29" s="45"/>
      <c r="J29" s="44" t="s">
        <v>156</v>
      </c>
      <c r="K29" s="44"/>
      <c r="L29" s="44"/>
      <c r="M29" s="45" t="s">
        <v>126</v>
      </c>
      <c r="N29" s="45"/>
    </row>
    <row r="30" spans="1:14" ht="55.5" customHeight="1">
      <c r="A30" s="45"/>
      <c r="B30" s="45"/>
      <c r="C30" s="45"/>
      <c r="D30" s="45"/>
      <c r="E30" s="44"/>
      <c r="F30" s="45"/>
      <c r="G30" s="46"/>
      <c r="H30" s="46"/>
      <c r="I30" s="45"/>
      <c r="J30" s="44" t="s">
        <v>149</v>
      </c>
      <c r="K30" s="45"/>
      <c r="L30" s="45"/>
      <c r="M30" s="45" t="s">
        <v>6</v>
      </c>
      <c r="N30" s="45"/>
    </row>
    <row r="31" spans="1:14" ht="55.5" customHeight="1">
      <c r="A31" s="45"/>
      <c r="B31" s="45"/>
      <c r="C31" s="45"/>
      <c r="D31" s="45"/>
      <c r="E31" s="44"/>
      <c r="F31" s="45"/>
      <c r="G31" s="46"/>
      <c r="H31" s="46"/>
      <c r="I31" s="45"/>
      <c r="J31" s="44" t="s">
        <v>157</v>
      </c>
      <c r="K31" s="44"/>
      <c r="L31" s="44"/>
      <c r="M31" s="45" t="s">
        <v>6</v>
      </c>
      <c r="N31" s="45"/>
    </row>
    <row r="32" spans="1:14" ht="56">
      <c r="A32" s="45"/>
      <c r="B32" s="45"/>
      <c r="C32" s="45"/>
      <c r="D32" s="45"/>
      <c r="E32" s="44" t="s">
        <v>144</v>
      </c>
      <c r="F32" s="45"/>
      <c r="G32" s="46"/>
      <c r="H32" s="46"/>
      <c r="I32" s="44"/>
      <c r="J32" s="44" t="s">
        <v>141</v>
      </c>
      <c r="K32" s="44"/>
      <c r="L32" s="44"/>
      <c r="M32" s="45" t="s">
        <v>125</v>
      </c>
      <c r="N32" s="45"/>
    </row>
    <row r="33" spans="1:14" ht="66.75" customHeight="1">
      <c r="A33" s="45"/>
      <c r="B33" s="45"/>
      <c r="C33" s="45"/>
      <c r="D33" s="45"/>
      <c r="E33" s="44"/>
      <c r="F33" s="45"/>
      <c r="G33" s="46"/>
      <c r="H33" s="46"/>
      <c r="I33" s="44"/>
      <c r="J33" s="44" t="s">
        <v>158</v>
      </c>
      <c r="K33" s="44"/>
      <c r="L33" s="44"/>
      <c r="M33" s="45" t="s">
        <v>128</v>
      </c>
      <c r="N33" s="45"/>
    </row>
    <row r="34" spans="1:14" ht="66.75" customHeight="1">
      <c r="A34" s="45"/>
      <c r="B34" s="45"/>
      <c r="C34" s="45"/>
      <c r="D34" s="45"/>
      <c r="E34" s="44"/>
      <c r="F34" s="45"/>
      <c r="G34" s="46"/>
      <c r="H34" s="46"/>
      <c r="I34" s="44"/>
      <c r="J34" s="44" t="s">
        <v>129</v>
      </c>
      <c r="K34" s="44"/>
      <c r="L34" s="44"/>
      <c r="M34" s="45" t="s">
        <v>6</v>
      </c>
      <c r="N34" s="45"/>
    </row>
    <row r="35" spans="1:14" ht="66.75" customHeight="1">
      <c r="A35" s="45"/>
      <c r="B35" s="45"/>
      <c r="C35" s="45"/>
      <c r="D35" s="45"/>
      <c r="E35" s="44"/>
      <c r="F35" s="45"/>
      <c r="G35" s="46"/>
      <c r="H35" s="46"/>
      <c r="I35" s="44"/>
      <c r="J35" s="44" t="s">
        <v>157</v>
      </c>
      <c r="K35" s="44"/>
      <c r="L35" s="44"/>
      <c r="M35" s="45" t="s">
        <v>6</v>
      </c>
      <c r="N35" s="45"/>
    </row>
    <row r="36" spans="1:14" ht="55.5" customHeight="1">
      <c r="A36" s="45"/>
      <c r="B36" s="45"/>
      <c r="C36" s="45"/>
      <c r="D36" s="45"/>
      <c r="E36" s="44" t="s">
        <v>145</v>
      </c>
      <c r="F36" s="45"/>
      <c r="G36" s="46"/>
      <c r="H36" s="46"/>
      <c r="I36" s="45"/>
      <c r="J36" s="44" t="s">
        <v>130</v>
      </c>
      <c r="K36" s="44"/>
      <c r="L36" s="44"/>
      <c r="M36" s="45" t="s">
        <v>126</v>
      </c>
      <c r="N36" s="45"/>
    </row>
    <row r="37" spans="1:14" ht="55.5" customHeight="1">
      <c r="A37" s="45"/>
      <c r="B37" s="45"/>
      <c r="C37" s="45"/>
      <c r="D37" s="45"/>
      <c r="E37" s="44"/>
      <c r="F37" s="45"/>
      <c r="G37" s="46"/>
      <c r="H37" s="46"/>
      <c r="I37" s="45"/>
      <c r="J37" s="44" t="s">
        <v>159</v>
      </c>
      <c r="K37" s="44"/>
      <c r="L37" s="44"/>
      <c r="M37" s="45" t="s">
        <v>126</v>
      </c>
      <c r="N37" s="45"/>
    </row>
    <row r="38" spans="1:14" ht="55.5" customHeight="1">
      <c r="A38" s="45"/>
      <c r="B38" s="45"/>
      <c r="C38" s="45"/>
      <c r="D38" s="45"/>
      <c r="E38" s="44"/>
      <c r="F38" s="45"/>
      <c r="G38" s="46"/>
      <c r="H38" s="46"/>
      <c r="I38" s="45"/>
      <c r="J38" s="44" t="s">
        <v>160</v>
      </c>
      <c r="K38" s="44"/>
      <c r="L38" s="44"/>
      <c r="M38" s="45" t="s">
        <v>126</v>
      </c>
      <c r="N38" s="45"/>
    </row>
    <row r="39" spans="1:14" ht="55.5" customHeight="1">
      <c r="A39" s="45"/>
      <c r="B39" s="45"/>
      <c r="C39" s="45"/>
      <c r="D39" s="45"/>
      <c r="E39" s="44"/>
      <c r="F39" s="45"/>
      <c r="G39" s="46"/>
      <c r="H39" s="46"/>
      <c r="I39" s="45"/>
      <c r="J39" s="44" t="s">
        <v>161</v>
      </c>
      <c r="K39" s="44"/>
      <c r="L39" s="44"/>
      <c r="M39" s="45" t="s">
        <v>6</v>
      </c>
      <c r="N39" s="45"/>
    </row>
    <row r="40" spans="1:14" ht="55.5" customHeight="1">
      <c r="A40" s="45"/>
      <c r="B40" s="45"/>
      <c r="C40" s="45"/>
      <c r="D40" s="45"/>
      <c r="E40" s="44"/>
      <c r="F40" s="45"/>
      <c r="G40" s="46"/>
      <c r="H40" s="46"/>
      <c r="I40" s="45"/>
      <c r="J40" s="44" t="s">
        <v>162</v>
      </c>
      <c r="K40" s="44"/>
      <c r="L40" s="44"/>
      <c r="M40" s="45" t="s">
        <v>6</v>
      </c>
      <c r="N40" s="45"/>
    </row>
    <row r="41" spans="1:14" ht="55.5" customHeight="1">
      <c r="A41" s="45"/>
      <c r="B41" s="45"/>
      <c r="C41" s="45"/>
      <c r="D41" s="45"/>
      <c r="E41" s="44" t="s">
        <v>131</v>
      </c>
      <c r="F41" s="45"/>
      <c r="G41" s="46"/>
      <c r="H41" s="46"/>
      <c r="I41" s="44"/>
      <c r="J41" s="44" t="s">
        <v>140</v>
      </c>
      <c r="K41" s="44"/>
      <c r="L41" s="44"/>
      <c r="M41" s="45" t="s">
        <v>126</v>
      </c>
      <c r="N41" s="45"/>
    </row>
    <row r="42" spans="1:14" ht="71.25" customHeight="1">
      <c r="A42" s="45"/>
      <c r="B42" s="45"/>
      <c r="C42" s="45"/>
      <c r="D42" s="45"/>
      <c r="E42" s="44"/>
      <c r="F42" s="45"/>
      <c r="G42" s="46"/>
      <c r="H42" s="46"/>
      <c r="I42" s="44"/>
      <c r="J42" s="44" t="s">
        <v>143</v>
      </c>
      <c r="K42" s="44"/>
      <c r="L42" s="44"/>
      <c r="M42" s="45" t="s">
        <v>126</v>
      </c>
      <c r="N42" s="45"/>
    </row>
    <row r="43" spans="1:14" ht="55.5" customHeight="1">
      <c r="A43" s="45"/>
      <c r="B43" s="45"/>
      <c r="C43" s="45"/>
      <c r="D43" s="45"/>
      <c r="E43" s="44"/>
      <c r="F43" s="45"/>
      <c r="G43" s="46"/>
      <c r="H43" s="46"/>
      <c r="I43" s="44"/>
      <c r="J43" s="44" t="s">
        <v>163</v>
      </c>
      <c r="K43" s="44"/>
      <c r="L43" s="44"/>
      <c r="M43" s="45" t="s">
        <v>126</v>
      </c>
      <c r="N43" s="45"/>
    </row>
    <row r="44" spans="1:14" ht="55.5" customHeight="1">
      <c r="A44" s="45"/>
      <c r="B44" s="45"/>
      <c r="C44" s="45"/>
      <c r="D44" s="45"/>
      <c r="E44" s="44"/>
      <c r="F44" s="45"/>
      <c r="G44" s="46"/>
      <c r="H44" s="46"/>
      <c r="I44" s="44"/>
      <c r="J44" s="44" t="s">
        <v>146</v>
      </c>
      <c r="K44" s="44"/>
      <c r="L44" s="44"/>
      <c r="M44" s="46" t="s">
        <v>6</v>
      </c>
      <c r="N44" s="45"/>
    </row>
    <row r="45" spans="1:14" ht="55.5" customHeight="1">
      <c r="A45" s="45"/>
      <c r="B45" s="45"/>
      <c r="C45" s="45"/>
      <c r="D45" s="45"/>
      <c r="E45" s="44"/>
      <c r="F45" s="45"/>
      <c r="G45" s="44"/>
      <c r="H45" s="45"/>
      <c r="I45" s="45"/>
      <c r="J45" s="44" t="s">
        <v>149</v>
      </c>
      <c r="K45" s="44"/>
      <c r="L45" s="44"/>
      <c r="M45" s="46" t="s">
        <v>6</v>
      </c>
      <c r="N45" s="45"/>
    </row>
  </sheetData>
  <phoneticPr fontId="8" type="noConversion"/>
  <pageMargins left="0.25" right="0" top="0.5" bottom="0.5" header="0" footer="0"/>
  <pageSetup scale="60" fitToHeight="0" orientation="landscape" r:id="rId1"/>
  <headerFooter alignWithMargins="0">
    <oddHeader>&amp;L&amp;8Form # EN-7.3-F-VDP0960A (23-Feb-06)</oddHeader>
  </headerFooter>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tWords">
    <pageSetUpPr fitToPage="1"/>
  </sheetPr>
  <dimension ref="A1:L84"/>
  <sheetViews>
    <sheetView workbookViewId="0">
      <pane ySplit="6" topLeftCell="A7" activePane="bottomLeft" state="frozen"/>
      <selection pane="bottomLeft" activeCell="B15" sqref="B15"/>
    </sheetView>
  </sheetViews>
  <sheetFormatPr defaultColWidth="9.1796875" defaultRowHeight="14"/>
  <cols>
    <col min="1" max="1" width="22.81640625" style="26" customWidth="1"/>
    <col min="2" max="2" width="16.81640625" style="26" customWidth="1"/>
    <col min="3" max="12" width="7.1796875" style="15" customWidth="1"/>
    <col min="13" max="13" width="10.26953125" style="15" customWidth="1"/>
    <col min="14" max="16384" width="9.1796875" style="15"/>
  </cols>
  <sheetData>
    <row r="1" spans="1:12" s="63" customFormat="1" ht="17.5">
      <c r="A1" s="67" t="s">
        <v>22</v>
      </c>
      <c r="B1" s="68"/>
      <c r="C1" s="68"/>
      <c r="D1" s="68"/>
      <c r="E1" s="68"/>
      <c r="F1" s="68"/>
      <c r="G1" s="68"/>
      <c r="H1" s="68"/>
      <c r="I1" s="68"/>
      <c r="J1" s="68"/>
      <c r="K1" s="68"/>
      <c r="L1" s="69"/>
    </row>
    <row r="2" spans="1:12" s="64" customFormat="1" ht="15.75" hidden="1" customHeight="1">
      <c r="A2" s="70"/>
      <c r="B2" s="71"/>
      <c r="C2" s="71"/>
      <c r="D2" s="71"/>
      <c r="E2" s="71"/>
      <c r="F2" s="71"/>
      <c r="G2" s="71"/>
      <c r="H2" s="71"/>
      <c r="I2" s="71"/>
      <c r="J2" s="71"/>
      <c r="K2" s="71"/>
      <c r="L2" s="71"/>
    </row>
    <row r="3" spans="1:12" s="64" customFormat="1" ht="31.5" customHeight="1">
      <c r="A3" s="379" t="s">
        <v>23</v>
      </c>
      <c r="B3" s="379"/>
      <c r="C3" s="379"/>
      <c r="D3" s="379"/>
      <c r="E3" s="379"/>
      <c r="F3" s="379"/>
      <c r="G3" s="379"/>
      <c r="H3" s="379"/>
      <c r="I3" s="379"/>
      <c r="J3" s="379"/>
      <c r="K3" s="379"/>
      <c r="L3" s="379"/>
    </row>
    <row r="4" spans="1:12" s="64" customFormat="1" ht="15.75" customHeight="1">
      <c r="A4" s="381" t="s">
        <v>24</v>
      </c>
      <c r="B4" s="381"/>
      <c r="C4" s="381"/>
      <c r="D4" s="381"/>
      <c r="E4" s="381"/>
      <c r="F4" s="381"/>
      <c r="G4" s="381"/>
      <c r="H4" s="381"/>
      <c r="I4" s="381"/>
      <c r="J4" s="381"/>
      <c r="K4" s="381"/>
      <c r="L4" s="381"/>
    </row>
    <row r="5" spans="1:12" s="64" customFormat="1" ht="16.5" customHeight="1">
      <c r="A5" s="380" t="s">
        <v>25</v>
      </c>
      <c r="B5" s="380"/>
      <c r="C5" s="380"/>
      <c r="D5" s="380"/>
      <c r="E5" s="380"/>
      <c r="F5" s="380"/>
      <c r="G5" s="380"/>
      <c r="H5" s="380"/>
      <c r="I5" s="380"/>
      <c r="J5" s="380"/>
      <c r="K5" s="380"/>
      <c r="L5" s="380"/>
    </row>
    <row r="6" spans="1:12" s="64" customFormat="1" ht="13">
      <c r="A6" s="65" t="s">
        <v>22</v>
      </c>
      <c r="B6" s="72" t="s">
        <v>26</v>
      </c>
      <c r="C6" s="66"/>
      <c r="D6" s="66"/>
      <c r="E6" s="66"/>
      <c r="F6" s="66"/>
      <c r="G6" s="66"/>
      <c r="H6" s="66"/>
      <c r="I6" s="66"/>
      <c r="J6" s="66"/>
      <c r="K6" s="66"/>
      <c r="L6" s="66"/>
    </row>
    <row r="7" spans="1:12">
      <c r="A7" s="26" t="s">
        <v>27</v>
      </c>
      <c r="B7" s="27"/>
      <c r="C7" s="14"/>
      <c r="D7" s="14"/>
      <c r="E7" s="14"/>
      <c r="F7" s="14"/>
      <c r="G7" s="14"/>
      <c r="H7" s="14"/>
      <c r="I7" s="14"/>
      <c r="J7" s="14"/>
      <c r="K7" s="14"/>
      <c r="L7" s="14"/>
    </row>
    <row r="8" spans="1:12">
      <c r="A8" s="26" t="s">
        <v>28</v>
      </c>
      <c r="B8" s="27"/>
      <c r="C8" s="14"/>
      <c r="D8" s="14"/>
      <c r="E8" s="14"/>
      <c r="F8" s="14"/>
      <c r="G8" s="14"/>
      <c r="H8" s="14"/>
      <c r="I8" s="14"/>
      <c r="J8" s="14"/>
      <c r="K8" s="14"/>
      <c r="L8" s="14"/>
    </row>
    <row r="9" spans="1:12">
      <c r="A9" s="26" t="s">
        <v>29</v>
      </c>
    </row>
    <row r="10" spans="1:12">
      <c r="A10" s="26" t="s">
        <v>30</v>
      </c>
    </row>
    <row r="11" spans="1:12">
      <c r="A11" s="26" t="s">
        <v>31</v>
      </c>
    </row>
    <row r="12" spans="1:12">
      <c r="A12" s="26" t="s">
        <v>32</v>
      </c>
    </row>
    <row r="13" spans="1:12">
      <c r="A13" s="26" t="s">
        <v>33</v>
      </c>
    </row>
    <row r="14" spans="1:12">
      <c r="A14" s="26" t="s">
        <v>34</v>
      </c>
    </row>
    <row r="15" spans="1:12">
      <c r="A15" s="26" t="s">
        <v>35</v>
      </c>
    </row>
    <row r="16" spans="1:12">
      <c r="A16" s="26" t="s">
        <v>36</v>
      </c>
    </row>
    <row r="17" spans="1:1">
      <c r="A17" s="26" t="s">
        <v>37</v>
      </c>
    </row>
    <row r="18" spans="1:1">
      <c r="A18" s="26" t="s">
        <v>38</v>
      </c>
    </row>
    <row r="19" spans="1:1">
      <c r="A19" s="26" t="s">
        <v>39</v>
      </c>
    </row>
    <row r="20" spans="1:1">
      <c r="A20" s="26" t="s">
        <v>40</v>
      </c>
    </row>
    <row r="21" spans="1:1">
      <c r="A21" s="26" t="s">
        <v>41</v>
      </c>
    </row>
    <row r="22" spans="1:1">
      <c r="A22" s="26" t="s">
        <v>42</v>
      </c>
    </row>
    <row r="23" spans="1:1">
      <c r="A23" s="26" t="s">
        <v>43</v>
      </c>
    </row>
    <row r="24" spans="1:1">
      <c r="A24" s="26" t="s">
        <v>44</v>
      </c>
    </row>
    <row r="25" spans="1:1">
      <c r="A25" s="26" t="s">
        <v>45</v>
      </c>
    </row>
    <row r="26" spans="1:1">
      <c r="A26" s="26" t="s">
        <v>46</v>
      </c>
    </row>
    <row r="27" spans="1:1">
      <c r="A27" s="26" t="s">
        <v>47</v>
      </c>
    </row>
    <row r="28" spans="1:1">
      <c r="A28" s="26" t="s">
        <v>48</v>
      </c>
    </row>
    <row r="29" spans="1:1">
      <c r="A29" s="26" t="s">
        <v>49</v>
      </c>
    </row>
    <row r="30" spans="1:1">
      <c r="A30" s="26" t="s">
        <v>50</v>
      </c>
    </row>
    <row r="31" spans="1:1">
      <c r="A31" s="26" t="s">
        <v>51</v>
      </c>
    </row>
    <row r="32" spans="1:1">
      <c r="A32" s="26" t="s">
        <v>52</v>
      </c>
    </row>
    <row r="33" spans="1:1">
      <c r="A33" s="26" t="s">
        <v>53</v>
      </c>
    </row>
    <row r="34" spans="1:1">
      <c r="A34" s="26" t="s">
        <v>54</v>
      </c>
    </row>
    <row r="35" spans="1:1">
      <c r="A35" s="26" t="s">
        <v>55</v>
      </c>
    </row>
    <row r="36" spans="1:1">
      <c r="A36" s="26" t="s">
        <v>56</v>
      </c>
    </row>
    <row r="37" spans="1:1">
      <c r="A37" s="26" t="s">
        <v>57</v>
      </c>
    </row>
    <row r="38" spans="1:1">
      <c r="A38" s="26" t="s">
        <v>58</v>
      </c>
    </row>
    <row r="39" spans="1:1">
      <c r="A39" s="26" t="s">
        <v>59</v>
      </c>
    </row>
    <row r="40" spans="1:1">
      <c r="A40" s="26" t="s">
        <v>60</v>
      </c>
    </row>
    <row r="41" spans="1:1">
      <c r="A41" s="26" t="s">
        <v>61</v>
      </c>
    </row>
    <row r="42" spans="1:1">
      <c r="A42" s="26" t="s">
        <v>62</v>
      </c>
    </row>
    <row r="43" spans="1:1">
      <c r="A43" s="26" t="s">
        <v>63</v>
      </c>
    </row>
    <row r="44" spans="1:1">
      <c r="A44" s="26" t="s">
        <v>64</v>
      </c>
    </row>
    <row r="45" spans="1:1">
      <c r="A45" s="26" t="s">
        <v>65</v>
      </c>
    </row>
    <row r="46" spans="1:1">
      <c r="A46" s="26" t="s">
        <v>66</v>
      </c>
    </row>
    <row r="47" spans="1:1">
      <c r="A47" s="26" t="s">
        <v>67</v>
      </c>
    </row>
    <row r="48" spans="1:1">
      <c r="A48" s="26" t="s">
        <v>68</v>
      </c>
    </row>
    <row r="49" spans="1:1">
      <c r="A49" s="26" t="s">
        <v>69</v>
      </c>
    </row>
    <row r="50" spans="1:1">
      <c r="A50" s="26" t="s">
        <v>70</v>
      </c>
    </row>
    <row r="51" spans="1:1">
      <c r="A51" s="26" t="s">
        <v>71</v>
      </c>
    </row>
    <row r="52" spans="1:1">
      <c r="A52" s="26" t="s">
        <v>72</v>
      </c>
    </row>
    <row r="53" spans="1:1">
      <c r="A53" s="26" t="s">
        <v>73</v>
      </c>
    </row>
    <row r="54" spans="1:1">
      <c r="A54" s="26" t="s">
        <v>74</v>
      </c>
    </row>
    <row r="55" spans="1:1">
      <c r="A55" s="26" t="s">
        <v>165</v>
      </c>
    </row>
    <row r="56" spans="1:1">
      <c r="A56" s="26" t="s">
        <v>166</v>
      </c>
    </row>
    <row r="57" spans="1:1">
      <c r="A57" s="26" t="s">
        <v>75</v>
      </c>
    </row>
    <row r="58" spans="1:1">
      <c r="A58" s="26" t="s">
        <v>76</v>
      </c>
    </row>
    <row r="59" spans="1:1">
      <c r="A59" s="26" t="s">
        <v>77</v>
      </c>
    </row>
    <row r="60" spans="1:1">
      <c r="A60" s="26" t="s">
        <v>78</v>
      </c>
    </row>
    <row r="61" spans="1:1">
      <c r="A61" s="26" t="s">
        <v>79</v>
      </c>
    </row>
    <row r="62" spans="1:1">
      <c r="A62" s="26" t="s">
        <v>80</v>
      </c>
    </row>
    <row r="63" spans="1:1">
      <c r="A63" s="26" t="s">
        <v>81</v>
      </c>
    </row>
    <row r="64" spans="1:1">
      <c r="A64" s="26" t="s">
        <v>82</v>
      </c>
    </row>
    <row r="65" spans="1:1">
      <c r="A65" s="26" t="s">
        <v>83</v>
      </c>
    </row>
    <row r="66" spans="1:1">
      <c r="A66" s="26" t="s">
        <v>84</v>
      </c>
    </row>
    <row r="67" spans="1:1">
      <c r="A67" s="26" t="s">
        <v>85</v>
      </c>
    </row>
    <row r="68" spans="1:1">
      <c r="A68" s="26" t="s">
        <v>86</v>
      </c>
    </row>
    <row r="69" spans="1:1">
      <c r="A69" s="26" t="s">
        <v>87</v>
      </c>
    </row>
    <row r="70" spans="1:1">
      <c r="A70" s="26" t="s">
        <v>88</v>
      </c>
    </row>
    <row r="71" spans="1:1">
      <c r="A71" s="26" t="s">
        <v>89</v>
      </c>
    </row>
    <row r="72" spans="1:1">
      <c r="A72" s="26" t="s">
        <v>90</v>
      </c>
    </row>
    <row r="73" spans="1:1">
      <c r="A73" s="26" t="s">
        <v>91</v>
      </c>
    </row>
    <row r="74" spans="1:1">
      <c r="A74" s="26" t="s">
        <v>92</v>
      </c>
    </row>
    <row r="75" spans="1:1">
      <c r="A75" s="26" t="s">
        <v>93</v>
      </c>
    </row>
    <row r="76" spans="1:1">
      <c r="A76" s="26" t="s">
        <v>94</v>
      </c>
    </row>
    <row r="77" spans="1:1">
      <c r="A77" s="26" t="s">
        <v>95</v>
      </c>
    </row>
    <row r="78" spans="1:1">
      <c r="A78" s="26" t="s">
        <v>96</v>
      </c>
    </row>
    <row r="79" spans="1:1">
      <c r="A79" s="26" t="s">
        <v>97</v>
      </c>
    </row>
    <row r="80" spans="1:1">
      <c r="A80" s="26" t="s">
        <v>98</v>
      </c>
    </row>
    <row r="81" spans="1:1">
      <c r="A81" s="26" t="s">
        <v>99</v>
      </c>
    </row>
    <row r="82" spans="1:1">
      <c r="A82" s="26" t="s">
        <v>100</v>
      </c>
    </row>
    <row r="83" spans="1:1">
      <c r="A83" s="26" t="s">
        <v>101</v>
      </c>
    </row>
    <row r="84" spans="1:1">
      <c r="A84" s="103" t="s">
        <v>171</v>
      </c>
    </row>
  </sheetData>
  <mergeCells count="3">
    <mergeCell ref="A3:L3"/>
    <mergeCell ref="A5:L5"/>
    <mergeCell ref="A4:L4"/>
  </mergeCells>
  <phoneticPr fontId="8" type="noConversion"/>
  <pageMargins left="0.75" right="0.75" top="1" bottom="1" header="0.5" footer="0.5"/>
  <pageSetup scale="81"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
  <dimension ref="A1:B11"/>
  <sheetViews>
    <sheetView workbookViewId="0"/>
  </sheetViews>
  <sheetFormatPr defaultRowHeight="12.5"/>
  <cols>
    <col min="1" max="1" width="15.7265625" bestFit="1" customWidth="1"/>
  </cols>
  <sheetData>
    <row r="1" spans="1:2">
      <c r="A1" t="s">
        <v>172</v>
      </c>
      <c r="B1">
        <v>13</v>
      </c>
    </row>
    <row r="2" spans="1:2">
      <c r="A2" t="s">
        <v>175</v>
      </c>
      <c r="B2">
        <v>14</v>
      </c>
    </row>
    <row r="3" spans="1:2">
      <c r="A3" t="s">
        <v>176</v>
      </c>
      <c r="B3">
        <v>15</v>
      </c>
    </row>
    <row r="4" spans="1:2">
      <c r="A4" t="s">
        <v>178</v>
      </c>
      <c r="B4">
        <v>16</v>
      </c>
    </row>
    <row r="5" spans="1:2">
      <c r="A5" t="s">
        <v>180</v>
      </c>
      <c r="B5">
        <v>17</v>
      </c>
    </row>
    <row r="6" spans="1:2">
      <c r="A6" t="s">
        <v>181</v>
      </c>
      <c r="B6">
        <v>22</v>
      </c>
    </row>
    <row r="7" spans="1:2">
      <c r="A7" t="s">
        <v>182</v>
      </c>
      <c r="B7">
        <v>23</v>
      </c>
    </row>
    <row r="8" spans="1:2">
      <c r="A8" t="s">
        <v>183</v>
      </c>
      <c r="B8">
        <v>25</v>
      </c>
    </row>
    <row r="9" spans="1:2">
      <c r="A9" t="s">
        <v>184</v>
      </c>
      <c r="B9">
        <v>26</v>
      </c>
    </row>
    <row r="10" spans="1:2">
      <c r="A10" t="s">
        <v>186</v>
      </c>
      <c r="B10">
        <v>28</v>
      </c>
    </row>
    <row r="11" spans="1:2">
      <c r="A11" t="s">
        <v>185</v>
      </c>
      <c r="B11">
        <v>29</v>
      </c>
    </row>
  </sheetData>
  <phoneticPr fontId="29" type="noConversion"/>
  <pageMargins left="0.7" right="0.7" top="0.75" bottom="0.75" header="0.3" footer="0.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dimension ref="A1:B15"/>
  <sheetViews>
    <sheetView workbookViewId="0">
      <selection activeCell="A6" sqref="A6"/>
    </sheetView>
  </sheetViews>
  <sheetFormatPr defaultRowHeight="12.5"/>
  <sheetData>
    <row r="1" spans="1:2">
      <c r="A1" t="s">
        <v>173</v>
      </c>
      <c r="B1">
        <v>41157</v>
      </c>
    </row>
    <row r="2" spans="1:2">
      <c r="A2" t="s">
        <v>173</v>
      </c>
      <c r="B2">
        <v>41157</v>
      </c>
    </row>
    <row r="3" spans="1:2">
      <c r="A3" t="s">
        <v>173</v>
      </c>
      <c r="B3">
        <v>41157</v>
      </c>
    </row>
    <row r="4" spans="1:2">
      <c r="A4" t="s">
        <v>173</v>
      </c>
      <c r="B4">
        <v>41157</v>
      </c>
    </row>
    <row r="5" spans="1:2">
      <c r="A5" t="s">
        <v>173</v>
      </c>
      <c r="B5">
        <v>41157</v>
      </c>
    </row>
    <row r="6" spans="1:2">
      <c r="A6" t="s">
        <v>173</v>
      </c>
      <c r="B6">
        <v>41157</v>
      </c>
    </row>
    <row r="7" spans="1:2">
      <c r="A7" t="s">
        <v>173</v>
      </c>
      <c r="B7">
        <v>41157</v>
      </c>
    </row>
    <row r="8" spans="1:2">
      <c r="A8" t="s">
        <v>174</v>
      </c>
      <c r="B8">
        <v>41158</v>
      </c>
    </row>
    <row r="9" spans="1:2">
      <c r="A9" t="s">
        <v>174</v>
      </c>
      <c r="B9">
        <v>41158</v>
      </c>
    </row>
    <row r="10" spans="1:2">
      <c r="A10" t="s">
        <v>174</v>
      </c>
      <c r="B10">
        <v>41158</v>
      </c>
    </row>
    <row r="11" spans="1:2">
      <c r="A11" t="s">
        <v>179</v>
      </c>
      <c r="B11">
        <v>41159</v>
      </c>
    </row>
    <row r="12" spans="1:2">
      <c r="A12" t="s">
        <v>177</v>
      </c>
      <c r="B12">
        <v>41160</v>
      </c>
    </row>
    <row r="13" spans="1:2">
      <c r="A13" t="s">
        <v>177</v>
      </c>
      <c r="B13">
        <v>41160</v>
      </c>
    </row>
    <row r="14" spans="1:2">
      <c r="A14" t="s">
        <v>177</v>
      </c>
      <c r="B14">
        <v>41160</v>
      </c>
    </row>
    <row r="15" spans="1:2">
      <c r="A15" t="s">
        <v>177</v>
      </c>
      <c r="B15">
        <v>41160</v>
      </c>
    </row>
  </sheetData>
  <phoneticPr fontId="29" type="noConversion"/>
  <pageMargins left="0.7" right="0.7" top="0.75" bottom="0.75" header="0.3" footer="0.3"/>
  <pageSetup paperSize="9" orientation="portrait" horizontalDpi="360" verticalDpi="36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35</vt:i4>
      </vt:variant>
    </vt:vector>
  </HeadingPairs>
  <TitlesOfParts>
    <vt:vector size="42" baseType="lpstr">
      <vt:lpstr>封面</vt:lpstr>
      <vt:lpstr>产品适用表 </vt:lpstr>
      <vt:lpstr>PFMEA-中文</vt:lpstr>
      <vt:lpstr>PFMEA -英文</vt:lpstr>
      <vt:lpstr>版本履历</vt:lpstr>
      <vt:lpstr>Definition of Change Point's</vt:lpstr>
      <vt:lpstr>Judgment Words</vt:lpstr>
      <vt:lpstr>author_col</vt:lpstr>
      <vt:lpstr>block_descript</vt:lpstr>
      <vt:lpstr>block_faceid</vt:lpstr>
      <vt:lpstr>block_item</vt:lpstr>
      <vt:lpstr>Outputs!count_col</vt:lpstr>
      <vt:lpstr>count_col</vt:lpstr>
      <vt:lpstr>date_col</vt:lpstr>
      <vt:lpstr>descript_col</vt:lpstr>
      <vt:lpstr>Outputs!first_col</vt:lpstr>
      <vt:lpstr>first_col</vt:lpstr>
      <vt:lpstr>first_row</vt:lpstr>
      <vt:lpstr>inputs_descript_col</vt:lpstr>
      <vt:lpstr>inputs_item_col</vt:lpstr>
      <vt:lpstr>inputs_last_col</vt:lpstr>
      <vt:lpstr>inputs_provider_col</vt:lpstr>
      <vt:lpstr>Outputs!item_col</vt:lpstr>
      <vt:lpstr>item_col</vt:lpstr>
      <vt:lpstr>Outputs!last_col</vt:lpstr>
      <vt:lpstr>last_col</vt:lpstr>
      <vt:lpstr>last_row</vt:lpstr>
      <vt:lpstr>o_functionCol</vt:lpstr>
      <vt:lpstr>out_col</vt:lpstr>
      <vt:lpstr>outputs_descript_col</vt:lpstr>
      <vt:lpstr>outputs_item_col</vt:lpstr>
      <vt:lpstr>outputs_last_col</vt:lpstr>
      <vt:lpstr>outputs_provider_col</vt:lpstr>
      <vt:lpstr>prefix</vt:lpstr>
      <vt:lpstr>Inputs!Print_Area</vt:lpstr>
      <vt:lpstr>'PFMEA -英文'!Print_Area</vt:lpstr>
      <vt:lpstr>版本履历!Print_Area</vt:lpstr>
      <vt:lpstr>封面!Print_Area</vt:lpstr>
      <vt:lpstr>start</vt:lpstr>
      <vt:lpstr>suggest</vt:lpstr>
      <vt:lpstr>valid_admins</vt:lpstr>
      <vt:lpstr>version_col</vt:lpstr>
    </vt:vector>
  </TitlesOfParts>
  <Company>GM OnLine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Wang</dc:creator>
  <cp:lastModifiedBy>张洪源</cp:lastModifiedBy>
  <cp:lastPrinted>2026-03-13T06:41:25Z</cp:lastPrinted>
  <dcterms:created xsi:type="dcterms:W3CDTF">2005-12-19T11:38:28Z</dcterms:created>
  <dcterms:modified xsi:type="dcterms:W3CDTF">2026-03-13T06:50:52Z</dcterms:modified>
</cp:coreProperties>
</file>